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etso-my.sharepoint.com/personal/yoly_cuba_metso_com/Documents/Adm de Personal - Lima - Yoly/TAWA - PLANILLA REGIMEN MINERO/11 Noviembre/Fin de mes de Noviembre/"/>
    </mc:Choice>
  </mc:AlternateContent>
  <xr:revisionPtr revIDLastSave="88" documentId="8_{79EF7490-F3D0-4405-A03E-A883FA7AA9BC}" xr6:coauthVersionLast="47" xr6:coauthVersionMax="47" xr10:uidLastSave="{AA67F37F-3BB0-4566-9318-8A0BB6875C9A}"/>
  <bookViews>
    <workbookView xWindow="-108" yWindow="-108" windowWidth="23256" windowHeight="13896" xr2:uid="{D00FE966-B226-4EEA-9AB7-55724BE4EDDB}"/>
  </bookViews>
  <sheets>
    <sheet name="Resumen" sheetId="2" r:id="rId1"/>
    <sheet name="Planilla" sheetId="1" r:id="rId2"/>
  </sheets>
  <externalReferences>
    <externalReference r:id="rId3"/>
  </externalReferences>
  <definedNames>
    <definedName name="_xlnm._FilterDatabase" localSheetId="1" hidden="1">Planilla!$A$6:$CP$965</definedName>
    <definedName name="_xlnm._FilterDatabase" localSheetId="0" hidden="1">Resumen!$A$6:$BB$932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2" l="1"/>
  <c r="I9" i="2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7" i="1"/>
  <c r="C42" i="1" l="1"/>
  <c r="AV39" i="1"/>
  <c r="AV38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AV42" i="1" l="1"/>
</calcChain>
</file>

<file path=xl/sharedStrings.xml><?xml version="1.0" encoding="utf-8"?>
<sst xmlns="http://schemas.openxmlformats.org/spreadsheetml/2006/main" count="575" uniqueCount="273">
  <si>
    <t>Reporte de Nómina por Periodo</t>
  </si>
  <si>
    <t>Año: 2025 - Periodo: 11</t>
  </si>
  <si>
    <t>CÓDIGO</t>
  </si>
  <si>
    <t>CÓDIGO CORPORATIVO</t>
  </si>
  <si>
    <t>APELLIDO PATERNO</t>
  </si>
  <si>
    <t>APELLIDO MATERNO</t>
  </si>
  <si>
    <t>NOMBRES</t>
  </si>
  <si>
    <t>TIPO DE DOCUMENTO</t>
  </si>
  <si>
    <t>DNI/CEX</t>
  </si>
  <si>
    <t>SEXO</t>
  </si>
  <si>
    <t>F. NACIMIENTO</t>
  </si>
  <si>
    <t>PUESTO</t>
  </si>
  <si>
    <t>SEDE</t>
  </si>
  <si>
    <t>ÁREA</t>
  </si>
  <si>
    <t>CENTRO DE COSTOS</t>
  </si>
  <si>
    <t>DESC. CENTRO DE COSTO</t>
  </si>
  <si>
    <t>BANCO HABERES</t>
  </si>
  <si>
    <t>CÓDIGO CUENTA</t>
  </si>
  <si>
    <t>NÚMERO DE CUENTA</t>
  </si>
  <si>
    <t>AFP</t>
  </si>
  <si>
    <t>CUSPP</t>
  </si>
  <si>
    <t>FECHA DE INGRESO</t>
  </si>
  <si>
    <t>FECHA CESE</t>
  </si>
  <si>
    <t>MOTIVO CESE</t>
  </si>
  <si>
    <t>DIAS TRABAJADOS</t>
  </si>
  <si>
    <t>DIAS DESC MEDICO (P)</t>
  </si>
  <si>
    <t>SUELDO BASICO</t>
  </si>
  <si>
    <t>ASIG. FAMILIAR TEORI</t>
  </si>
  <si>
    <t>HABER BASICO</t>
  </si>
  <si>
    <t>ASIGNACION FAMILIAR</t>
  </si>
  <si>
    <t>DESCANSO MEDICO</t>
  </si>
  <si>
    <t>TOTAL INGRESOS</t>
  </si>
  <si>
    <t>QUINCENA</t>
  </si>
  <si>
    <t>S.N.P.</t>
  </si>
  <si>
    <t>5TA CATEGORIA</t>
  </si>
  <si>
    <t>AFP FONDO PENSIONES</t>
  </si>
  <si>
    <t>AFP COMISION VARIAB.</t>
  </si>
  <si>
    <t>AFP SEGURO INVALIDEZ</t>
  </si>
  <si>
    <t>AFP DESC COMPLE 2%</t>
  </si>
  <si>
    <t>FCJM</t>
  </si>
  <si>
    <t>TOTAL DESCUENTOS</t>
  </si>
  <si>
    <t>ESSALUD</t>
  </si>
  <si>
    <t>APORTE DE EPS</t>
  </si>
  <si>
    <t>SEG.COM.TR PENSION</t>
  </si>
  <si>
    <t>SEG.COM.T.R.SALUD</t>
  </si>
  <si>
    <t>SENATI</t>
  </si>
  <si>
    <t>SEGURO VIDA LEY</t>
  </si>
  <si>
    <t>AFP APOR COMPL 2%</t>
  </si>
  <si>
    <t>TOTAL APORTACIONES</t>
  </si>
  <si>
    <t>NETO</t>
  </si>
  <si>
    <t>42976096</t>
  </si>
  <si>
    <t>460988</t>
  </si>
  <si>
    <t>ADAUTO</t>
  </si>
  <si>
    <t>OSORIO</t>
  </si>
  <si>
    <t>JORGE LUIS</t>
  </si>
  <si>
    <t>DNI</t>
  </si>
  <si>
    <t>M</t>
  </si>
  <si>
    <t xml:space="preserve">SUPERVISOR DE OPERACIONES </t>
  </si>
  <si>
    <t>VULCANO</t>
  </si>
  <si>
    <t>MA SAM FSE &amp; LCS PE</t>
  </si>
  <si>
    <t>PE012224</t>
  </si>
  <si>
    <t>PROYECTO PEBBLES II</t>
  </si>
  <si>
    <t xml:space="preserve">BANCO BBVA PERÚ S.A </t>
  </si>
  <si>
    <t>AHS</t>
  </si>
  <si>
    <t>00110057710238733716</t>
  </si>
  <si>
    <t>NO APLICABLE</t>
  </si>
  <si>
    <t>41938672</t>
  </si>
  <si>
    <t>460917</t>
  </si>
  <si>
    <t>AROTINCO</t>
  </si>
  <si>
    <t>YUCRA</t>
  </si>
  <si>
    <t>JULIO ALBERTO</t>
  </si>
  <si>
    <t>BANCO INTERNACIONAL DEL PERU S.A.A - INTERBANK</t>
  </si>
  <si>
    <t>BIN</t>
  </si>
  <si>
    <t>00337701309562583090</t>
  </si>
  <si>
    <t>AFP PRIMA</t>
  </si>
  <si>
    <t>604671JAYTR5</t>
  </si>
  <si>
    <t>44027235</t>
  </si>
  <si>
    <t>460794</t>
  </si>
  <si>
    <t>BERGEL</t>
  </si>
  <si>
    <t>OLIVARES</t>
  </si>
  <si>
    <t>JESUS MANUEL</t>
  </si>
  <si>
    <t>MECANICO SOLDADOR</t>
  </si>
  <si>
    <t>BANCO DE CREDITO DEL PERU S.A</t>
  </si>
  <si>
    <t>00238019204573705342</t>
  </si>
  <si>
    <t>607851JBOGV2</t>
  </si>
  <si>
    <t>44767714</t>
  </si>
  <si>
    <t>461083</t>
  </si>
  <si>
    <t>CALLATA</t>
  </si>
  <si>
    <t>CHURA</t>
  </si>
  <si>
    <t>JEAN</t>
  </si>
  <si>
    <t>SUPERVISOR MECANICO ELECTRICO</t>
  </si>
  <si>
    <t>00221517766331809128</t>
  </si>
  <si>
    <t>AFP INTEGRA</t>
  </si>
  <si>
    <t>620761JCCLR0</t>
  </si>
  <si>
    <t>72129071</t>
  </si>
  <si>
    <t>460858</t>
  </si>
  <si>
    <t>COLLAO</t>
  </si>
  <si>
    <t>BASILIO</t>
  </si>
  <si>
    <t>RONALD DANTE</t>
  </si>
  <si>
    <t>OPERADOR SALA DE CONTROL</t>
  </si>
  <si>
    <t>00228017449076405661</t>
  </si>
  <si>
    <t>641691RCBLI2</t>
  </si>
  <si>
    <t>42838208</t>
  </si>
  <si>
    <t>460799</t>
  </si>
  <si>
    <t>COSTILLA</t>
  </si>
  <si>
    <t>GRADOS</t>
  </si>
  <si>
    <t>FELIX ENRIQUE</t>
  </si>
  <si>
    <t>OPERADOR DE OPERACIONES</t>
  </si>
  <si>
    <t>00110579050236050342</t>
  </si>
  <si>
    <t>301801FCGTD6</t>
  </si>
  <si>
    <t>29580021</t>
  </si>
  <si>
    <t>460960</t>
  </si>
  <si>
    <t>DIAZ</t>
  </si>
  <si>
    <t>ROLDAN</t>
  </si>
  <si>
    <t>EDWIN GERMAIN</t>
  </si>
  <si>
    <t>RESIDENTE DE CONTRATOS</t>
  </si>
  <si>
    <t>SCOTIABANK PERU SAA</t>
  </si>
  <si>
    <t>00916920169001777543</t>
  </si>
  <si>
    <t>AFP HABITAT</t>
  </si>
  <si>
    <t>262361EDRZD1</t>
  </si>
  <si>
    <t>47849060</t>
  </si>
  <si>
    <t>460797</t>
  </si>
  <si>
    <t>FLORES</t>
  </si>
  <si>
    <t>CARITA</t>
  </si>
  <si>
    <t>EDGAR NOEL</t>
  </si>
  <si>
    <t>00221510024110403628</t>
  </si>
  <si>
    <t>641601EFCRI6</t>
  </si>
  <si>
    <t>40794965</t>
  </si>
  <si>
    <t>460854</t>
  </si>
  <si>
    <t>RUBEN</t>
  </si>
  <si>
    <t>MECANICO ALMACENERO</t>
  </si>
  <si>
    <t>00221510324370106224</t>
  </si>
  <si>
    <t>41105310</t>
  </si>
  <si>
    <t>HINOSTROZA</t>
  </si>
  <si>
    <t>LLANOS</t>
  </si>
  <si>
    <t>VICTOR HUGO</t>
  </si>
  <si>
    <t>SUPERVISOR DE SEGURIDAD</t>
  </si>
  <si>
    <t>00235517073833409860</t>
  </si>
  <si>
    <t>597021VHLON0</t>
  </si>
  <si>
    <t>45531526</t>
  </si>
  <si>
    <t>461082</t>
  </si>
  <si>
    <t>HUAMAN</t>
  </si>
  <si>
    <t>CORRALES</t>
  </si>
  <si>
    <t>MIGUEL ANGEL</t>
  </si>
  <si>
    <t>TECNICO ELECTRICISTA- INSTRUMENTISTA</t>
  </si>
  <si>
    <t>00110211060200777821</t>
  </si>
  <si>
    <t>72095469</t>
  </si>
  <si>
    <t>460856</t>
  </si>
  <si>
    <t>HURTADO</t>
  </si>
  <si>
    <t>VICENTE</t>
  </si>
  <si>
    <t>EDITH YOVANNA</t>
  </si>
  <si>
    <t>F</t>
  </si>
  <si>
    <t>00219113974283107255</t>
  </si>
  <si>
    <t>643690EHVTE9</t>
  </si>
  <si>
    <t>42461272</t>
  </si>
  <si>
    <t>LAVADO</t>
  </si>
  <si>
    <t>RAMOS</t>
  </si>
  <si>
    <t>RAUL</t>
  </si>
  <si>
    <t>00110057760227478102</t>
  </si>
  <si>
    <t>73053081</t>
  </si>
  <si>
    <t>460795</t>
  </si>
  <si>
    <t>MACHACCA</t>
  </si>
  <si>
    <t>TUNQUIPA</t>
  </si>
  <si>
    <t>MIGUEL GERARDO</t>
  </si>
  <si>
    <t>INGENIERO DE COSTOS Y PLANIFICACIÓN DE LA DEMANDA</t>
  </si>
  <si>
    <t>00931020700871557042</t>
  </si>
  <si>
    <t>655831MMTHQ4</t>
  </si>
  <si>
    <t>70762892</t>
  </si>
  <si>
    <t>460855</t>
  </si>
  <si>
    <t>MALCA</t>
  </si>
  <si>
    <t>CARRASCO</t>
  </si>
  <si>
    <t>RICARDO FRANCO</t>
  </si>
  <si>
    <t>00219110955965401455</t>
  </si>
  <si>
    <t>AFP PROFUTURO</t>
  </si>
  <si>
    <t>628811RMCCR7</t>
  </si>
  <si>
    <t>46827571</t>
  </si>
  <si>
    <t>MEZA</t>
  </si>
  <si>
    <t>ABREGU</t>
  </si>
  <si>
    <t>JHON CRISTHIAN</t>
  </si>
  <si>
    <t>00917020890701653220</t>
  </si>
  <si>
    <t>631321JMAAE4</t>
  </si>
  <si>
    <t>46222342</t>
  </si>
  <si>
    <t>460755</t>
  </si>
  <si>
    <t>MONTERREY</t>
  </si>
  <si>
    <t>LEON</t>
  </si>
  <si>
    <t>JUAN DANIEL</t>
  </si>
  <si>
    <t>00320001345984091037</t>
  </si>
  <si>
    <t>71902174</t>
  </si>
  <si>
    <t>460648</t>
  </si>
  <si>
    <t>MOORE</t>
  </si>
  <si>
    <t>DURAN</t>
  </si>
  <si>
    <t>KEEN YOU</t>
  </si>
  <si>
    <t>PLANIFICADOR MECANICO ELECTRICO</t>
  </si>
  <si>
    <t>00110579090219244761</t>
  </si>
  <si>
    <t>648051KMDRA2</t>
  </si>
  <si>
    <t>18202152</t>
  </si>
  <si>
    <t>461073</t>
  </si>
  <si>
    <t>RODRIGUEZ</t>
  </si>
  <si>
    <t>AVILA</t>
  </si>
  <si>
    <t>ROBERT MICHAEL</t>
  </si>
  <si>
    <t>00257011227530004701</t>
  </si>
  <si>
    <t>581401RRARL6</t>
  </si>
  <si>
    <t>45713627</t>
  </si>
  <si>
    <t>446522</t>
  </si>
  <si>
    <t>ROJAS</t>
  </si>
  <si>
    <t>ALVARADO</t>
  </si>
  <si>
    <t>LUIS GUSTAVO</t>
  </si>
  <si>
    <t xml:space="preserve">BANCO INTERAMERICANO DE FINANZAS S.A                                                                </t>
  </si>
  <si>
    <t>03820410801690189149</t>
  </si>
  <si>
    <t>625851LRAAA6</t>
  </si>
  <si>
    <t>73891787</t>
  </si>
  <si>
    <t>460857</t>
  </si>
  <si>
    <t>ROSALES</t>
  </si>
  <si>
    <t>LOBATON</t>
  </si>
  <si>
    <t>ALEX WILLIAM</t>
  </si>
  <si>
    <t>00247019077898309337</t>
  </si>
  <si>
    <t>650251ARLAA2</t>
  </si>
  <si>
    <t>44782782</t>
  </si>
  <si>
    <t>460798</t>
  </si>
  <si>
    <t>SOTO</t>
  </si>
  <si>
    <t>ZAPATA</t>
  </si>
  <si>
    <t>SOLEDAD</t>
  </si>
  <si>
    <t xml:space="preserve">ASISTENTE DE SERVICIOS </t>
  </si>
  <si>
    <t>00219313832733407717</t>
  </si>
  <si>
    <t>321350SSZOA5</t>
  </si>
  <si>
    <t>71134589</t>
  </si>
  <si>
    <t>460800</t>
  </si>
  <si>
    <t>TAYPE</t>
  </si>
  <si>
    <t>MONTAÑEZ</t>
  </si>
  <si>
    <t>00235510138380702267</t>
  </si>
  <si>
    <t>47209288</t>
  </si>
  <si>
    <t>460793</t>
  </si>
  <si>
    <t>TOPALAYA</t>
  </si>
  <si>
    <t>CARRION</t>
  </si>
  <si>
    <t>CRISTIAN RAUL</t>
  </si>
  <si>
    <t>00110057790246979414</t>
  </si>
  <si>
    <t>636221CTCAR1</t>
  </si>
  <si>
    <t>73028319</t>
  </si>
  <si>
    <t>460918</t>
  </si>
  <si>
    <t>UBIA</t>
  </si>
  <si>
    <t>DEL AGUILA</t>
  </si>
  <si>
    <t>JEANCARLOS</t>
  </si>
  <si>
    <t>00110579010233535477</t>
  </si>
  <si>
    <t>657261JUAAI4</t>
  </si>
  <si>
    <t>46181654</t>
  </si>
  <si>
    <t>460646</t>
  </si>
  <si>
    <t>URETA</t>
  </si>
  <si>
    <t>VILLAFUERTE</t>
  </si>
  <si>
    <t>ALEXANDER</t>
  </si>
  <si>
    <t>00219412102402408793</t>
  </si>
  <si>
    <t>628721AUVTL7</t>
  </si>
  <si>
    <t>48240247</t>
  </si>
  <si>
    <t>460792</t>
  </si>
  <si>
    <t>VILA</t>
  </si>
  <si>
    <t>DE LA CRUZ</t>
  </si>
  <si>
    <t>00110321790200951668</t>
  </si>
  <si>
    <t>CONCILIACIÓN DE TRABAJADORES</t>
  </si>
  <si>
    <t>TOTAL TRABAJADORES MES ANTERIOR</t>
  </si>
  <si>
    <t>RESUMEN PAGOS</t>
  </si>
  <si>
    <t>SOLES</t>
  </si>
  <si>
    <t>+ INGRESOS DEL MES</t>
  </si>
  <si>
    <t>INTERBANCARIOS</t>
  </si>
  <si>
    <t>- CESES DEL MES ANTERIOR</t>
  </si>
  <si>
    <t>BANCO CONTINENTAL</t>
  </si>
  <si>
    <t>+ TRASPASOS DE OTRA PLANILLA</t>
  </si>
  <si>
    <t>CESADOS EN EL MES</t>
  </si>
  <si>
    <t>- TRASPASOS A OTRA PLANILLA</t>
  </si>
  <si>
    <t>TOTAL TRABAJADORES MES ACTUAL</t>
  </si>
  <si>
    <t>TOTAL CONTINENTAL</t>
  </si>
  <si>
    <t>DEPOSITO</t>
  </si>
  <si>
    <t>CANT</t>
  </si>
  <si>
    <t>MONTO</t>
  </si>
  <si>
    <t>OTROS BANCOS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</si>
</sst>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yy"/>
    <numFmt numFmtId="165" formatCode="_ * #,##0.00_ ;_ * \-#,##0.00_ ;_ * &quot;-&quot;??_ ;_ @_ "/>
  </numFmts>
  <fonts count="15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8"/>
      <color rgb="FFFFFFFF"/>
      <name val="Calibri"/>
      <family val="2"/>
    </font>
    <font>
      <sz val="8"/>
      <color indexed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indexed="56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FFC000"/>
      </patternFill>
    </fill>
    <fill>
      <patternFill patternType="solid">
        <fgColor rgb="FFFFFF99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 applyBorder="0"/>
    <xf numFmtId="43" fontId="2" fillId="0" borderId="0" applyFont="0" applyFill="0" applyBorder="0" applyAlignment="0" applyProtection="0"/>
    <xf numFmtId="0" fontId="3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1" xfId="0" applyFont="1" applyBorder="1"/>
    <xf numFmtId="4" fontId="5" fillId="0" borderId="1" xfId="0" applyNumberFormat="1" applyFont="1" applyBorder="1"/>
    <xf numFmtId="4" fontId="5" fillId="3" borderId="1" xfId="0" applyNumberFormat="1" applyFont="1" applyFill="1" applyBorder="1"/>
    <xf numFmtId="4" fontId="5" fillId="4" borderId="1" xfId="0" applyNumberFormat="1" applyFont="1" applyFill="1" applyBorder="1"/>
    <xf numFmtId="0" fontId="5" fillId="3" borderId="1" xfId="0" applyFont="1" applyFill="1" applyBorder="1"/>
    <xf numFmtId="0" fontId="5" fillId="4" borderId="2" xfId="0" applyFont="1" applyFill="1" applyBorder="1"/>
    <xf numFmtId="4" fontId="5" fillId="4" borderId="2" xfId="0" applyNumberFormat="1" applyFont="1" applyFill="1" applyBorder="1"/>
    <xf numFmtId="4" fontId="5" fillId="3" borderId="2" xfId="0" applyNumberFormat="1" applyFont="1" applyFill="1" applyBorder="1"/>
    <xf numFmtId="0" fontId="7" fillId="5" borderId="3" xfId="0" applyFont="1" applyFill="1" applyBorder="1" applyAlignment="1">
      <alignment horizontal="center" vertical="justify" wrapText="1"/>
    </xf>
    <xf numFmtId="0" fontId="7" fillId="5" borderId="4" xfId="0" applyFont="1" applyFill="1" applyBorder="1" applyAlignment="1">
      <alignment horizontal="center" vertical="justify" wrapText="1"/>
    </xf>
    <xf numFmtId="0" fontId="7" fillId="5" borderId="5" xfId="0" applyFont="1" applyFill="1" applyBorder="1" applyAlignment="1">
      <alignment horizontal="center" vertical="justify" wrapText="1"/>
    </xf>
    <xf numFmtId="49" fontId="8" fillId="6" borderId="6" xfId="0" applyNumberFormat="1" applyFont="1" applyFill="1" applyBorder="1" applyAlignment="1">
      <alignment vertical="center"/>
    </xf>
    <xf numFmtId="0" fontId="8" fillId="6" borderId="0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vertical="center"/>
    </xf>
    <xf numFmtId="0" fontId="9" fillId="6" borderId="0" xfId="2" applyFont="1" applyFill="1"/>
    <xf numFmtId="0" fontId="10" fillId="6" borderId="0" xfId="2" applyFont="1" applyFill="1"/>
    <xf numFmtId="0" fontId="8" fillId="6" borderId="0" xfId="0" applyFont="1" applyFill="1" applyAlignment="1">
      <alignment horizontal="center"/>
    </xf>
    <xf numFmtId="49" fontId="11" fillId="6" borderId="6" xfId="0" applyNumberFormat="1" applyFont="1" applyFill="1" applyBorder="1" applyAlignment="1">
      <alignment vertical="center"/>
    </xf>
    <xf numFmtId="0" fontId="11" fillId="6" borderId="0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vertical="center"/>
    </xf>
    <xf numFmtId="0" fontId="12" fillId="6" borderId="8" xfId="2" applyFont="1" applyFill="1" applyBorder="1"/>
    <xf numFmtId="0" fontId="12" fillId="6" borderId="8" xfId="2" applyFont="1" applyFill="1" applyBorder="1" applyAlignment="1">
      <alignment horizontal="center"/>
    </xf>
    <xf numFmtId="165" fontId="12" fillId="6" borderId="8" xfId="3" applyFont="1" applyFill="1" applyBorder="1" applyAlignment="1"/>
    <xf numFmtId="43" fontId="11" fillId="6" borderId="7" xfId="1" applyFont="1" applyFill="1" applyBorder="1" applyAlignment="1">
      <alignment vertical="center"/>
    </xf>
    <xf numFmtId="0" fontId="13" fillId="7" borderId="8" xfId="2" applyFont="1" applyFill="1" applyBorder="1"/>
    <xf numFmtId="0" fontId="12" fillId="7" borderId="8" xfId="2" applyFont="1" applyFill="1" applyBorder="1" applyAlignment="1">
      <alignment horizontal="center"/>
    </xf>
    <xf numFmtId="165" fontId="13" fillId="0" borderId="8" xfId="3" applyFont="1" applyFill="1" applyBorder="1" applyAlignment="1"/>
    <xf numFmtId="43" fontId="13" fillId="0" borderId="8" xfId="4" applyFont="1" applyFill="1" applyBorder="1" applyAlignment="1"/>
    <xf numFmtId="165" fontId="14" fillId="8" borderId="9" xfId="0" applyNumberFormat="1" applyFont="1" applyFill="1" applyBorder="1" applyAlignment="1">
      <alignment vertical="center"/>
    </xf>
    <xf numFmtId="165" fontId="14" fillId="8" borderId="11" xfId="0" applyNumberFormat="1" applyFont="1" applyFill="1" applyBorder="1" applyAlignment="1">
      <alignment vertical="center"/>
    </xf>
    <xf numFmtId="0" fontId="8" fillId="9" borderId="0" xfId="0" applyFont="1" applyFill="1"/>
    <xf numFmtId="0" fontId="5" fillId="9" borderId="0" xfId="0" applyFont="1" applyFill="1"/>
    <xf numFmtId="165" fontId="12" fillId="6" borderId="12" xfId="3" applyFont="1" applyFill="1" applyBorder="1" applyAlignment="1"/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165" fontId="14" fillId="8" borderId="10" xfId="0" applyNumberFormat="1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/>
    </xf>
    <xf numFmtId="4" fontId="5" fillId="4" borderId="2" xfId="0" applyNumberFormat="1" applyFont="1" applyFill="1" applyBorder="1" applyAlignment="1">
      <alignment horizontal="center"/>
    </xf>
    <xf numFmtId="0" fontId="5" fillId="10" borderId="1" xfId="0" applyFont="1" applyFill="1" applyBorder="1"/>
    <xf numFmtId="0" fontId="5" fillId="0" borderId="1" xfId="0" applyFont="1" applyFill="1" applyBorder="1"/>
    <xf numFmtId="0" fontId="5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5" fillId="0" borderId="13" xfId="0" applyFont="1" applyBorder="1"/>
    <xf numFmtId="4" fontId="4" fillId="0" borderId="13" xfId="0" applyNumberFormat="1" applyFont="1" applyBorder="1"/>
  </cellXfs>
  <cellStyles count="5">
    <cellStyle name="Millares" xfId="1" builtinId="3"/>
    <cellStyle name="Millares 4" xfId="3" xr:uid="{3697137B-F472-4F05-B1A9-484EAD6004CD}"/>
    <cellStyle name="Millares 5" xfId="4" xr:uid="{E3469323-EAFA-4E8B-BAB5-873685752D0D}"/>
    <cellStyle name="Normal" xfId="0" builtinId="0"/>
    <cellStyle name="Normal 2" xfId="2" xr:uid="{A1CBC252-5FB4-45BB-AB09-82292ED743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tso-my.sharepoint.com/personal/yoly_cuba_metso_com/Documents/Adm%20de%20Personal%20-%20Lima%20-%20Yoly/TAWA%20-%20PLANILLA%20REGIMEN%20MINERO/11%20Noviembre/Fin%20de%20mes%20de%20Noviembre/METSO_Planilla%202025-11%20Regimen%20Minero.xlsx" TargetMode="External"/><Relationship Id="rId1" Type="http://schemas.openxmlformats.org/officeDocument/2006/relationships/externalLinkPath" Target="METSO_Planilla%202025-11%20Regimen%20Mine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Planilla"/>
    </sheetNames>
    <sheetDataSet>
      <sheetData sheetId="0" refreshError="1"/>
      <sheetData sheetId="1">
        <row r="7">
          <cell r="A7" t="str">
            <v>42976096</v>
          </cell>
          <cell r="B7" t="str">
            <v>460988</v>
          </cell>
          <cell r="C7" t="str">
            <v>ADAUTO</v>
          </cell>
          <cell r="D7" t="str">
            <v>OSORIO</v>
          </cell>
          <cell r="E7" t="str">
            <v>JORGE LUIS</v>
          </cell>
          <cell r="F7" t="str">
            <v>DNI</v>
          </cell>
          <cell r="G7" t="str">
            <v>42976096</v>
          </cell>
          <cell r="H7" t="str">
            <v>M</v>
          </cell>
          <cell r="I7">
            <v>31186</v>
          </cell>
          <cell r="J7" t="str">
            <v xml:space="preserve">SUPERVISOR DE OPERACIONES </v>
          </cell>
          <cell r="K7" t="str">
            <v>VULCANO</v>
          </cell>
          <cell r="L7" t="str">
            <v>MA SAM FSE &amp; LCS PE</v>
          </cell>
          <cell r="M7" t="str">
            <v>PE012224</v>
          </cell>
          <cell r="N7" t="str">
            <v>PROYECTO PEBBLES II</v>
          </cell>
          <cell r="O7" t="str">
            <v xml:space="preserve">BANCO BBVA PERÚ S.A </v>
          </cell>
          <cell r="P7" t="str">
            <v>AHS</v>
          </cell>
          <cell r="Q7" t="str">
            <v>00110057710238733716</v>
          </cell>
          <cell r="R7" t="str">
            <v>NO APLICABLE</v>
          </cell>
          <cell r="T7">
            <v>45969</v>
          </cell>
          <cell r="W7">
            <v>23</v>
          </cell>
          <cell r="X7">
            <v>6750</v>
          </cell>
          <cell r="Y7">
            <v>113</v>
          </cell>
          <cell r="Z7">
            <v>5175</v>
          </cell>
          <cell r="AA7">
            <v>113</v>
          </cell>
          <cell r="AB7">
            <v>5288</v>
          </cell>
          <cell r="AC7">
            <v>2104.65</v>
          </cell>
          <cell r="AD7">
            <v>687.44</v>
          </cell>
          <cell r="AJ7">
            <v>26.44</v>
          </cell>
          <cell r="AK7">
            <v>2818.53</v>
          </cell>
          <cell r="AL7">
            <v>337.84</v>
          </cell>
          <cell r="AM7">
            <v>112.61</v>
          </cell>
          <cell r="AN7">
            <v>37.020000000000003</v>
          </cell>
          <cell r="AO7">
            <v>26.44</v>
          </cell>
          <cell r="AP7">
            <v>39.659999999999997</v>
          </cell>
          <cell r="AQ7">
            <v>8.99</v>
          </cell>
          <cell r="AS7">
            <v>562.55999999999995</v>
          </cell>
          <cell r="AT7">
            <v>2469.4699999999998</v>
          </cell>
        </row>
        <row r="8">
          <cell r="A8" t="str">
            <v>41938672</v>
          </cell>
          <cell r="B8" t="str">
            <v>460917</v>
          </cell>
          <cell r="C8" t="str">
            <v>AROTINCO</v>
          </cell>
          <cell r="D8" t="str">
            <v>YUCRA</v>
          </cell>
          <cell r="E8" t="str">
            <v>JULIO ALBERTO</v>
          </cell>
          <cell r="F8" t="str">
            <v>DNI</v>
          </cell>
          <cell r="G8" t="str">
            <v>41938672</v>
          </cell>
          <cell r="H8" t="str">
            <v>M</v>
          </cell>
          <cell r="I8">
            <v>30469</v>
          </cell>
          <cell r="J8" t="str">
            <v xml:space="preserve">SUPERVISOR DE OPERACIONES </v>
          </cell>
          <cell r="K8" t="str">
            <v>VULCANO</v>
          </cell>
          <cell r="L8" t="str">
            <v>MA SAM FSE &amp; LCS PE</v>
          </cell>
          <cell r="M8" t="str">
            <v>PE012224</v>
          </cell>
          <cell r="N8" t="str">
            <v>PROYECTO PEBBLES II</v>
          </cell>
          <cell r="O8" t="str">
            <v>BANCO INTERNACIONAL DEL PERU S.A.A - INTERBANK</v>
          </cell>
          <cell r="P8" t="str">
            <v>BIN</v>
          </cell>
          <cell r="Q8" t="str">
            <v>00337701309562583090</v>
          </cell>
          <cell r="R8" t="str">
            <v>AFP PRIMA</v>
          </cell>
          <cell r="S8" t="str">
            <v>604671JAYTR5</v>
          </cell>
          <cell r="T8">
            <v>45964</v>
          </cell>
          <cell r="W8">
            <v>28</v>
          </cell>
          <cell r="X8">
            <v>6750</v>
          </cell>
          <cell r="Y8">
            <v>113</v>
          </cell>
          <cell r="Z8">
            <v>6300</v>
          </cell>
          <cell r="AA8">
            <v>113</v>
          </cell>
          <cell r="AB8">
            <v>6413</v>
          </cell>
          <cell r="AC8">
            <v>2562.19</v>
          </cell>
          <cell r="AF8">
            <v>641.29999999999995</v>
          </cell>
          <cell r="AH8">
            <v>87.86</v>
          </cell>
          <cell r="AI8">
            <v>128.26</v>
          </cell>
          <cell r="AJ8">
            <v>32.07</v>
          </cell>
          <cell r="AK8">
            <v>3451.68</v>
          </cell>
          <cell r="AL8">
            <v>432.88</v>
          </cell>
          <cell r="AM8">
            <v>144.29</v>
          </cell>
          <cell r="AN8">
            <v>44.89</v>
          </cell>
          <cell r="AO8">
            <v>32.07</v>
          </cell>
          <cell r="AP8">
            <v>48.1</v>
          </cell>
          <cell r="AQ8">
            <v>10.9</v>
          </cell>
          <cell r="AR8">
            <v>128.26</v>
          </cell>
          <cell r="AS8">
            <v>841.39</v>
          </cell>
          <cell r="AT8">
            <v>2961.32</v>
          </cell>
        </row>
        <row r="9">
          <cell r="A9" t="str">
            <v>44027235</v>
          </cell>
          <cell r="B9" t="str">
            <v>460794</v>
          </cell>
          <cell r="C9" t="str">
            <v>BERGEL</v>
          </cell>
          <cell r="D9" t="str">
            <v>OLIVARES</v>
          </cell>
          <cell r="E9" t="str">
            <v>JESUS MANUEL</v>
          </cell>
          <cell r="F9" t="str">
            <v>DNI</v>
          </cell>
          <cell r="G9" t="str">
            <v>44027235</v>
          </cell>
          <cell r="H9" t="str">
            <v>M</v>
          </cell>
          <cell r="I9">
            <v>30787</v>
          </cell>
          <cell r="J9" t="str">
            <v>MECANICO SOLDADOR</v>
          </cell>
          <cell r="K9" t="str">
            <v>VULCANO</v>
          </cell>
          <cell r="L9" t="str">
            <v>MA SAM FSE &amp; LCS PE</v>
          </cell>
          <cell r="M9" t="str">
            <v>PE012224</v>
          </cell>
          <cell r="N9" t="str">
            <v>PROYECTO PEBBLES II</v>
          </cell>
          <cell r="O9" t="str">
            <v>BANCO DE CREDITO DEL PERU S.A</v>
          </cell>
          <cell r="P9" t="str">
            <v>BIN</v>
          </cell>
          <cell r="Q9" t="str">
            <v>00238019204573705342</v>
          </cell>
          <cell r="R9" t="str">
            <v>AFP PRIMA</v>
          </cell>
          <cell r="S9" t="str">
            <v>607851JBOGV2</v>
          </cell>
          <cell r="T9">
            <v>45957</v>
          </cell>
          <cell r="W9">
            <v>30</v>
          </cell>
          <cell r="X9">
            <v>3400</v>
          </cell>
          <cell r="Y9">
            <v>113</v>
          </cell>
          <cell r="Z9">
            <v>3400</v>
          </cell>
          <cell r="AA9">
            <v>113</v>
          </cell>
          <cell r="AB9">
            <v>3513</v>
          </cell>
          <cell r="AC9">
            <v>1405.2</v>
          </cell>
          <cell r="AE9">
            <v>314.37</v>
          </cell>
          <cell r="AF9">
            <v>351.3</v>
          </cell>
          <cell r="AH9">
            <v>48.13</v>
          </cell>
          <cell r="AI9">
            <v>70.260000000000005</v>
          </cell>
          <cell r="AJ9">
            <v>17.57</v>
          </cell>
          <cell r="AK9">
            <v>2206.83</v>
          </cell>
          <cell r="AL9">
            <v>316.17</v>
          </cell>
          <cell r="AN9">
            <v>24.59</v>
          </cell>
          <cell r="AO9">
            <v>17.57</v>
          </cell>
          <cell r="AP9">
            <v>26.35</v>
          </cell>
          <cell r="AQ9">
            <v>5.97</v>
          </cell>
          <cell r="AR9">
            <v>70.260000000000005</v>
          </cell>
          <cell r="AS9">
            <v>460.91</v>
          </cell>
          <cell r="AT9">
            <v>1306.17</v>
          </cell>
        </row>
        <row r="10">
          <cell r="A10" t="str">
            <v>44767714</v>
          </cell>
          <cell r="B10" t="str">
            <v>461083</v>
          </cell>
          <cell r="C10" t="str">
            <v>CALLATA</v>
          </cell>
          <cell r="D10" t="str">
            <v>CHURA</v>
          </cell>
          <cell r="E10" t="str">
            <v>JEAN</v>
          </cell>
          <cell r="F10" t="str">
            <v>DNI</v>
          </cell>
          <cell r="G10" t="str">
            <v>44767714</v>
          </cell>
          <cell r="H10" t="str">
            <v>M</v>
          </cell>
          <cell r="I10">
            <v>32078</v>
          </cell>
          <cell r="J10" t="str">
            <v>SUPERVISOR MECANICO ELECTRICO</v>
          </cell>
          <cell r="K10" t="str">
            <v>VULCANO</v>
          </cell>
          <cell r="L10" t="str">
            <v>MA SAM FSE &amp; LCS PE</v>
          </cell>
          <cell r="M10" t="str">
            <v>PE012224</v>
          </cell>
          <cell r="N10" t="str">
            <v>PROYECTO PEBBLES II</v>
          </cell>
          <cell r="O10" t="str">
            <v>BANCO DE CREDITO DEL PERU S.A</v>
          </cell>
          <cell r="P10" t="str">
            <v>BIN</v>
          </cell>
          <cell r="Q10" t="str">
            <v>00221517766331809128</v>
          </cell>
          <cell r="R10" t="str">
            <v>AFP INTEGRA</v>
          </cell>
          <cell r="S10" t="str">
            <v>620761JCCLR0</v>
          </cell>
          <cell r="T10">
            <v>45974</v>
          </cell>
          <cell r="W10">
            <v>18</v>
          </cell>
          <cell r="X10">
            <v>6500</v>
          </cell>
          <cell r="Z10">
            <v>3900</v>
          </cell>
          <cell r="AB10">
            <v>3900</v>
          </cell>
          <cell r="AF10">
            <v>390</v>
          </cell>
          <cell r="AH10">
            <v>53.43</v>
          </cell>
          <cell r="AI10">
            <v>78</v>
          </cell>
          <cell r="AJ10">
            <v>19.5</v>
          </cell>
          <cell r="AK10">
            <v>540.92999999999995</v>
          </cell>
          <cell r="AL10">
            <v>263.25</v>
          </cell>
          <cell r="AM10">
            <v>87.75</v>
          </cell>
          <cell r="AN10">
            <v>27.3</v>
          </cell>
          <cell r="AO10">
            <v>19.5</v>
          </cell>
          <cell r="AP10">
            <v>29.25</v>
          </cell>
          <cell r="AQ10">
            <v>6.63</v>
          </cell>
          <cell r="AR10">
            <v>78</v>
          </cell>
          <cell r="AS10">
            <v>511.68</v>
          </cell>
          <cell r="AT10">
            <v>3359.07</v>
          </cell>
        </row>
        <row r="11">
          <cell r="A11" t="str">
            <v>72129071</v>
          </cell>
          <cell r="B11" t="str">
            <v>460858</v>
          </cell>
          <cell r="C11" t="str">
            <v>COLLAO</v>
          </cell>
          <cell r="D11" t="str">
            <v>BASILIO</v>
          </cell>
          <cell r="E11" t="str">
            <v>RONALD DANTE</v>
          </cell>
          <cell r="F11" t="str">
            <v>DNI</v>
          </cell>
          <cell r="G11" t="str">
            <v>72129071</v>
          </cell>
          <cell r="H11" t="str">
            <v>M</v>
          </cell>
          <cell r="I11">
            <v>34171</v>
          </cell>
          <cell r="J11" t="str">
            <v>OPERADOR SALA DE CONTROL</v>
          </cell>
          <cell r="K11" t="str">
            <v>VULCANO</v>
          </cell>
          <cell r="L11" t="str">
            <v>MA SAM FSE &amp; LCS PE</v>
          </cell>
          <cell r="M11" t="str">
            <v>PE012224</v>
          </cell>
          <cell r="N11" t="str">
            <v>PROYECTO PEBBLES II</v>
          </cell>
          <cell r="O11" t="str">
            <v>BANCO DE CREDITO DEL PERU S.A</v>
          </cell>
          <cell r="P11" t="str">
            <v>BIN</v>
          </cell>
          <cell r="Q11" t="str">
            <v>00228017449076405661</v>
          </cell>
          <cell r="R11" t="str">
            <v>AFP INTEGRA</v>
          </cell>
          <cell r="S11" t="str">
            <v>641691RCBLI2</v>
          </cell>
          <cell r="T11">
            <v>45957</v>
          </cell>
          <cell r="W11">
            <v>30</v>
          </cell>
          <cell r="X11">
            <v>3450</v>
          </cell>
          <cell r="Z11">
            <v>3450</v>
          </cell>
          <cell r="AB11">
            <v>3450</v>
          </cell>
          <cell r="AC11">
            <v>1380</v>
          </cell>
          <cell r="AE11">
            <v>173.94</v>
          </cell>
          <cell r="AF11">
            <v>345</v>
          </cell>
          <cell r="AH11">
            <v>47.27</v>
          </cell>
          <cell r="AI11">
            <v>69</v>
          </cell>
          <cell r="AJ11">
            <v>17.25</v>
          </cell>
          <cell r="AK11">
            <v>2032.46</v>
          </cell>
          <cell r="AL11">
            <v>310.5</v>
          </cell>
          <cell r="AN11">
            <v>24.15</v>
          </cell>
          <cell r="AO11">
            <v>17.25</v>
          </cell>
          <cell r="AP11">
            <v>25.88</v>
          </cell>
          <cell r="AQ11">
            <v>3.8</v>
          </cell>
          <cell r="AR11">
            <v>69</v>
          </cell>
          <cell r="AS11">
            <v>450.58</v>
          </cell>
          <cell r="AT11">
            <v>1417.54</v>
          </cell>
        </row>
        <row r="12">
          <cell r="A12" t="str">
            <v>42838208</v>
          </cell>
          <cell r="B12" t="str">
            <v>460799</v>
          </cell>
          <cell r="C12" t="str">
            <v>COSTILLA</v>
          </cell>
          <cell r="D12" t="str">
            <v>GRADOS</v>
          </cell>
          <cell r="E12" t="str">
            <v>FELIX ENRIQUE</v>
          </cell>
          <cell r="F12" t="str">
            <v>DNI</v>
          </cell>
          <cell r="G12" t="str">
            <v>42838208</v>
          </cell>
          <cell r="H12" t="str">
            <v>M</v>
          </cell>
          <cell r="I12">
            <v>30182</v>
          </cell>
          <cell r="J12" t="str">
            <v>OPERADOR DE OPERACIONES</v>
          </cell>
          <cell r="K12" t="str">
            <v>VULCANO</v>
          </cell>
          <cell r="L12" t="str">
            <v>MA SAM FSE &amp; LCS PE</v>
          </cell>
          <cell r="M12" t="str">
            <v>PE012224</v>
          </cell>
          <cell r="N12" t="str">
            <v>PROYECTO PEBBLES II</v>
          </cell>
          <cell r="O12" t="str">
            <v xml:space="preserve">BANCO BBVA PERÚ S.A </v>
          </cell>
          <cell r="P12" t="str">
            <v>AHS</v>
          </cell>
          <cell r="Q12" t="str">
            <v>00110579050236050342</v>
          </cell>
          <cell r="R12" t="str">
            <v>AFP PRIMA</v>
          </cell>
          <cell r="S12" t="str">
            <v>301801FCGTD6</v>
          </cell>
          <cell r="T12">
            <v>45957</v>
          </cell>
          <cell r="W12">
            <v>30</v>
          </cell>
          <cell r="X12">
            <v>3450</v>
          </cell>
          <cell r="Y12">
            <v>113</v>
          </cell>
          <cell r="Z12">
            <v>3450</v>
          </cell>
          <cell r="AA12">
            <v>113</v>
          </cell>
          <cell r="AB12">
            <v>3563</v>
          </cell>
          <cell r="AC12">
            <v>1425.2</v>
          </cell>
          <cell r="AF12">
            <v>356.3</v>
          </cell>
          <cell r="AH12">
            <v>48.81</v>
          </cell>
          <cell r="AI12">
            <v>71.260000000000005</v>
          </cell>
          <cell r="AJ12">
            <v>17.82</v>
          </cell>
          <cell r="AK12">
            <v>1919.39</v>
          </cell>
          <cell r="AL12">
            <v>320.67</v>
          </cell>
          <cell r="AN12">
            <v>24.94</v>
          </cell>
          <cell r="AO12">
            <v>17.82</v>
          </cell>
          <cell r="AP12">
            <v>26.72</v>
          </cell>
          <cell r="AQ12">
            <v>6.06</v>
          </cell>
          <cell r="AR12">
            <v>71.260000000000005</v>
          </cell>
          <cell r="AS12">
            <v>467.47</v>
          </cell>
          <cell r="AT12">
            <v>1643.61</v>
          </cell>
        </row>
        <row r="13">
          <cell r="A13" t="str">
            <v>29580021</v>
          </cell>
          <cell r="B13" t="str">
            <v>460960</v>
          </cell>
          <cell r="C13" t="str">
            <v>DIAZ</v>
          </cell>
          <cell r="D13" t="str">
            <v>ROLDAN</v>
          </cell>
          <cell r="E13" t="str">
            <v>EDWIN GERMAIN</v>
          </cell>
          <cell r="F13" t="str">
            <v>DNI</v>
          </cell>
          <cell r="G13" t="str">
            <v>29580021</v>
          </cell>
          <cell r="H13" t="str">
            <v>M</v>
          </cell>
          <cell r="I13">
            <v>26238</v>
          </cell>
          <cell r="J13" t="str">
            <v>RESIDENTE DE CONTRATOS</v>
          </cell>
          <cell r="K13" t="str">
            <v>VULCANO</v>
          </cell>
          <cell r="L13" t="str">
            <v>MA SAM FSE &amp; LCS PE</v>
          </cell>
          <cell r="M13" t="str">
            <v>PE012224</v>
          </cell>
          <cell r="N13" t="str">
            <v>PROYECTO PEBBLES II</v>
          </cell>
          <cell r="O13" t="str">
            <v>SCOTIABANK PERU SAA</v>
          </cell>
          <cell r="P13" t="str">
            <v>BIN</v>
          </cell>
          <cell r="Q13" t="str">
            <v>00916920169001777543</v>
          </cell>
          <cell r="R13" t="str">
            <v>AFP HABITAT</v>
          </cell>
          <cell r="S13" t="str">
            <v>262361EDRZD1</v>
          </cell>
          <cell r="T13">
            <v>45969</v>
          </cell>
          <cell r="W13">
            <v>23</v>
          </cell>
          <cell r="X13">
            <v>20000</v>
          </cell>
          <cell r="Y13">
            <v>113</v>
          </cell>
          <cell r="Z13">
            <v>15333.33</v>
          </cell>
          <cell r="AA13">
            <v>113</v>
          </cell>
          <cell r="AB13">
            <v>15446.33</v>
          </cell>
          <cell r="AE13">
            <v>88.63</v>
          </cell>
          <cell r="AF13">
            <v>1544.63</v>
          </cell>
          <cell r="AG13">
            <v>227.06</v>
          </cell>
          <cell r="AH13">
            <v>166.85</v>
          </cell>
          <cell r="AI13">
            <v>308.93</v>
          </cell>
          <cell r="AJ13">
            <v>77.23</v>
          </cell>
          <cell r="AK13">
            <v>2413.33</v>
          </cell>
          <cell r="AL13">
            <v>1042.6300000000001</v>
          </cell>
          <cell r="AM13">
            <v>347.54</v>
          </cell>
          <cell r="AN13">
            <v>85.25</v>
          </cell>
          <cell r="AO13">
            <v>77.23</v>
          </cell>
          <cell r="AP13">
            <v>115.85</v>
          </cell>
          <cell r="AQ13">
            <v>26.26</v>
          </cell>
          <cell r="AR13">
            <v>308.93</v>
          </cell>
          <cell r="AS13">
            <v>2003.69</v>
          </cell>
          <cell r="AT13">
            <v>13033</v>
          </cell>
        </row>
        <row r="14">
          <cell r="A14" t="str">
            <v>47849060</v>
          </cell>
          <cell r="B14" t="str">
            <v>460797</v>
          </cell>
          <cell r="C14" t="str">
            <v>FLORES</v>
          </cell>
          <cell r="D14" t="str">
            <v>CARITA</v>
          </cell>
          <cell r="E14" t="str">
            <v>EDGAR NOEL</v>
          </cell>
          <cell r="F14" t="str">
            <v>DNI</v>
          </cell>
          <cell r="G14" t="str">
            <v>47849060</v>
          </cell>
          <cell r="H14" t="str">
            <v>M</v>
          </cell>
          <cell r="I14">
            <v>34162</v>
          </cell>
          <cell r="J14" t="str">
            <v>OPERADOR DE OPERACIONES</v>
          </cell>
          <cell r="K14" t="str">
            <v>VULCANO</v>
          </cell>
          <cell r="L14" t="str">
            <v>MA SAM FSE &amp; LCS PE</v>
          </cell>
          <cell r="M14" t="str">
            <v>PE012224</v>
          </cell>
          <cell r="N14" t="str">
            <v>PROYECTO PEBBLES II</v>
          </cell>
          <cell r="O14" t="str">
            <v>BANCO DE CREDITO DEL PERU S.A</v>
          </cell>
          <cell r="P14" t="str">
            <v>BIN</v>
          </cell>
          <cell r="Q14" t="str">
            <v>00221510024110403628</v>
          </cell>
          <cell r="R14" t="str">
            <v>AFP INTEGRA</v>
          </cell>
          <cell r="S14" t="str">
            <v>641601EFCRI6</v>
          </cell>
          <cell r="T14">
            <v>45957</v>
          </cell>
          <cell r="W14">
            <v>30</v>
          </cell>
          <cell r="X14">
            <v>3450</v>
          </cell>
          <cell r="Y14">
            <v>113</v>
          </cell>
          <cell r="Z14">
            <v>3450</v>
          </cell>
          <cell r="AA14">
            <v>113</v>
          </cell>
          <cell r="AB14">
            <v>3563</v>
          </cell>
          <cell r="AC14">
            <v>1425.2</v>
          </cell>
          <cell r="AE14">
            <v>396.39</v>
          </cell>
          <cell r="AF14">
            <v>356.3</v>
          </cell>
          <cell r="AH14">
            <v>48.81</v>
          </cell>
          <cell r="AI14">
            <v>71.260000000000005</v>
          </cell>
          <cell r="AJ14">
            <v>17.82</v>
          </cell>
          <cell r="AK14">
            <v>2315.7800000000002</v>
          </cell>
          <cell r="AL14">
            <v>320.67</v>
          </cell>
          <cell r="AN14">
            <v>24.94</v>
          </cell>
          <cell r="AO14">
            <v>17.82</v>
          </cell>
          <cell r="AP14">
            <v>26.72</v>
          </cell>
          <cell r="AQ14">
            <v>3.92</v>
          </cell>
          <cell r="AR14">
            <v>71.260000000000005</v>
          </cell>
          <cell r="AS14">
            <v>465.33</v>
          </cell>
          <cell r="AT14">
            <v>1247.22</v>
          </cell>
        </row>
        <row r="15">
          <cell r="A15" t="str">
            <v>40794965</v>
          </cell>
          <cell r="B15" t="str">
            <v>460854</v>
          </cell>
          <cell r="C15" t="str">
            <v>FLORES</v>
          </cell>
          <cell r="D15" t="str">
            <v>FLORES</v>
          </cell>
          <cell r="E15" t="str">
            <v>RUBEN</v>
          </cell>
          <cell r="F15" t="str">
            <v>DNI</v>
          </cell>
          <cell r="G15" t="str">
            <v>40794965</v>
          </cell>
          <cell r="H15" t="str">
            <v>M</v>
          </cell>
          <cell r="I15">
            <v>29347</v>
          </cell>
          <cell r="J15" t="str">
            <v>MECANICO ALMACENERO</v>
          </cell>
          <cell r="K15" t="str">
            <v>VULCANO</v>
          </cell>
          <cell r="L15" t="str">
            <v>MA SAM FSE &amp; LCS PE</v>
          </cell>
          <cell r="M15" t="str">
            <v>PE012224</v>
          </cell>
          <cell r="N15" t="str">
            <v>PROYECTO PEBBLES II</v>
          </cell>
          <cell r="O15" t="str">
            <v>BANCO DE CREDITO DEL PERU S.A</v>
          </cell>
          <cell r="P15" t="str">
            <v>BIN</v>
          </cell>
          <cell r="Q15" t="str">
            <v>00221510324370106224</v>
          </cell>
          <cell r="R15" t="str">
            <v>NO APLICABLE</v>
          </cell>
          <cell r="T15">
            <v>45957</v>
          </cell>
          <cell r="W15">
            <v>30</v>
          </cell>
          <cell r="X15">
            <v>3500</v>
          </cell>
          <cell r="Y15">
            <v>113</v>
          </cell>
          <cell r="Z15">
            <v>3500</v>
          </cell>
          <cell r="AA15">
            <v>113</v>
          </cell>
          <cell r="AB15">
            <v>3613</v>
          </cell>
          <cell r="AC15">
            <v>1445.2</v>
          </cell>
          <cell r="AD15">
            <v>469.69</v>
          </cell>
          <cell r="AJ15">
            <v>18.07</v>
          </cell>
          <cell r="AK15">
            <v>1932.96</v>
          </cell>
          <cell r="AL15">
            <v>325.17</v>
          </cell>
          <cell r="AN15">
            <v>25.29</v>
          </cell>
          <cell r="AO15">
            <v>18.07</v>
          </cell>
          <cell r="AP15">
            <v>27.1</v>
          </cell>
          <cell r="AQ15">
            <v>6.14</v>
          </cell>
          <cell r="AS15">
            <v>401.77</v>
          </cell>
          <cell r="AT15">
            <v>1680.04</v>
          </cell>
        </row>
        <row r="16">
          <cell r="A16" t="str">
            <v>45531526</v>
          </cell>
          <cell r="B16" t="str">
            <v>461082</v>
          </cell>
          <cell r="C16" t="str">
            <v>HUAMAN</v>
          </cell>
          <cell r="D16" t="str">
            <v>CORRALES</v>
          </cell>
          <cell r="E16" t="str">
            <v>MIGUEL ANGEL</v>
          </cell>
          <cell r="F16" t="str">
            <v>DNI</v>
          </cell>
          <cell r="G16" t="str">
            <v>45531526</v>
          </cell>
          <cell r="H16" t="str">
            <v>M</v>
          </cell>
          <cell r="I16">
            <v>32518</v>
          </cell>
          <cell r="J16" t="str">
            <v>TECNICO ELECTRICISTA- INSTRUMENTISTA</v>
          </cell>
          <cell r="K16" t="str">
            <v>VULCANO</v>
          </cell>
          <cell r="L16" t="str">
            <v>MA SAM FSE &amp; LCS PE</v>
          </cell>
          <cell r="M16" t="str">
            <v>PE012224</v>
          </cell>
          <cell r="N16" t="str">
            <v>PROYECTO PEBBLES II</v>
          </cell>
          <cell r="O16" t="str">
            <v xml:space="preserve">BANCO BBVA PERÚ S.A </v>
          </cell>
          <cell r="P16" t="str">
            <v>AHS</v>
          </cell>
          <cell r="Q16" t="str">
            <v>00110211060200777821</v>
          </cell>
          <cell r="R16" t="str">
            <v>NO APLICABLE</v>
          </cell>
          <cell r="T16">
            <v>45974</v>
          </cell>
          <cell r="W16">
            <v>18</v>
          </cell>
          <cell r="X16">
            <v>3500</v>
          </cell>
          <cell r="Y16">
            <v>113</v>
          </cell>
          <cell r="Z16">
            <v>2100</v>
          </cell>
          <cell r="AA16">
            <v>113</v>
          </cell>
          <cell r="AB16">
            <v>2213</v>
          </cell>
          <cell r="AD16">
            <v>287.69</v>
          </cell>
          <cell r="AJ16">
            <v>11.07</v>
          </cell>
          <cell r="AK16">
            <v>298.76</v>
          </cell>
          <cell r="AL16">
            <v>199.17</v>
          </cell>
          <cell r="AN16">
            <v>15.49</v>
          </cell>
          <cell r="AO16">
            <v>11.07</v>
          </cell>
          <cell r="AP16">
            <v>16.600000000000001</v>
          </cell>
          <cell r="AQ16">
            <v>2.4300000000000002</v>
          </cell>
          <cell r="AS16">
            <v>244.76</v>
          </cell>
          <cell r="AT16">
            <v>1914.24</v>
          </cell>
        </row>
        <row r="17">
          <cell r="A17" t="str">
            <v>72095469</v>
          </cell>
          <cell r="B17" t="str">
            <v>460856</v>
          </cell>
          <cell r="C17" t="str">
            <v>HURTADO</v>
          </cell>
          <cell r="D17" t="str">
            <v>VICENTE</v>
          </cell>
          <cell r="E17" t="str">
            <v>EDITH YOVANNA</v>
          </cell>
          <cell r="F17" t="str">
            <v>DNI</v>
          </cell>
          <cell r="G17" t="str">
            <v>72095469</v>
          </cell>
          <cell r="H17" t="str">
            <v>F</v>
          </cell>
          <cell r="I17">
            <v>34371</v>
          </cell>
          <cell r="J17" t="str">
            <v>TECNICO ELECTRICISTA- INSTRUMENTISTA</v>
          </cell>
          <cell r="K17" t="str">
            <v>VULCANO</v>
          </cell>
          <cell r="L17" t="str">
            <v>MA SAM FSE &amp; LCS PE</v>
          </cell>
          <cell r="M17" t="str">
            <v>PE012224</v>
          </cell>
          <cell r="N17" t="str">
            <v>PROYECTO PEBBLES II</v>
          </cell>
          <cell r="O17" t="str">
            <v>BANCO DE CREDITO DEL PERU S.A</v>
          </cell>
          <cell r="P17" t="str">
            <v>BIN</v>
          </cell>
          <cell r="Q17" t="str">
            <v>00219113974283107255</v>
          </cell>
          <cell r="R17" t="str">
            <v>AFP INTEGRA</v>
          </cell>
          <cell r="S17" t="str">
            <v>643690EHVTE9</v>
          </cell>
          <cell r="T17">
            <v>45957</v>
          </cell>
          <cell r="W17">
            <v>30</v>
          </cell>
          <cell r="X17">
            <v>3500</v>
          </cell>
          <cell r="Z17">
            <v>3500</v>
          </cell>
          <cell r="AB17">
            <v>3500</v>
          </cell>
          <cell r="AC17">
            <v>1400</v>
          </cell>
          <cell r="AF17">
            <v>350</v>
          </cell>
          <cell r="AH17">
            <v>47.95</v>
          </cell>
          <cell r="AI17">
            <v>70</v>
          </cell>
          <cell r="AJ17">
            <v>17.5</v>
          </cell>
          <cell r="AK17">
            <v>1885.45</v>
          </cell>
          <cell r="AL17">
            <v>315</v>
          </cell>
          <cell r="AN17">
            <v>24.5</v>
          </cell>
          <cell r="AO17">
            <v>17.5</v>
          </cell>
          <cell r="AP17">
            <v>26.25</v>
          </cell>
          <cell r="AQ17">
            <v>3.85</v>
          </cell>
          <cell r="AR17">
            <v>70</v>
          </cell>
          <cell r="AS17">
            <v>457.1</v>
          </cell>
          <cell r="AT17">
            <v>1614.55</v>
          </cell>
        </row>
        <row r="18">
          <cell r="A18" t="str">
            <v>42461272</v>
          </cell>
          <cell r="C18" t="str">
            <v>LAVADO</v>
          </cell>
          <cell r="D18" t="str">
            <v>RAMOS</v>
          </cell>
          <cell r="E18" t="str">
            <v>RAUL</v>
          </cell>
          <cell r="F18" t="str">
            <v>DNI</v>
          </cell>
          <cell r="G18" t="str">
            <v>42461272</v>
          </cell>
          <cell r="H18" t="str">
            <v>M</v>
          </cell>
          <cell r="I18">
            <v>30782</v>
          </cell>
          <cell r="J18" t="str">
            <v xml:space="preserve">SUPERVISOR DE OPERACIONES </v>
          </cell>
          <cell r="K18" t="str">
            <v>VULCANO</v>
          </cell>
          <cell r="L18" t="str">
            <v>MA SAM FSE &amp; LCS PE</v>
          </cell>
          <cell r="M18" t="str">
            <v>PE012224</v>
          </cell>
          <cell r="N18" t="str">
            <v>PROYECTO PEBBLES II</v>
          </cell>
          <cell r="O18" t="str">
            <v xml:space="preserve">BANCO BBVA PERÚ S.A </v>
          </cell>
          <cell r="P18" t="str">
            <v>AHS</v>
          </cell>
          <cell r="Q18" t="str">
            <v>00110057760227478102</v>
          </cell>
          <cell r="R18" t="str">
            <v>NO APLICABLE</v>
          </cell>
          <cell r="T18">
            <v>45950</v>
          </cell>
          <cell r="W18">
            <v>30</v>
          </cell>
          <cell r="X18">
            <v>6750</v>
          </cell>
          <cell r="Y18">
            <v>113</v>
          </cell>
          <cell r="Z18">
            <v>6750</v>
          </cell>
          <cell r="AA18">
            <v>113</v>
          </cell>
          <cell r="AB18">
            <v>6863</v>
          </cell>
          <cell r="AC18">
            <v>2745.2</v>
          </cell>
          <cell r="AD18">
            <v>892.19</v>
          </cell>
          <cell r="AE18">
            <v>703.22</v>
          </cell>
          <cell r="AJ18">
            <v>34.32</v>
          </cell>
          <cell r="AK18">
            <v>4374.93</v>
          </cell>
          <cell r="AL18">
            <v>463.25</v>
          </cell>
          <cell r="AM18">
            <v>154.41999999999999</v>
          </cell>
          <cell r="AN18">
            <v>48.04</v>
          </cell>
          <cell r="AO18">
            <v>34.32</v>
          </cell>
          <cell r="AP18">
            <v>51.47</v>
          </cell>
          <cell r="AQ18">
            <v>11.67</v>
          </cell>
          <cell r="AS18">
            <v>763.17</v>
          </cell>
          <cell r="AT18">
            <v>2488.0700000000002</v>
          </cell>
        </row>
        <row r="19">
          <cell r="A19" t="str">
            <v>73053081</v>
          </cell>
          <cell r="B19" t="str">
            <v>460795</v>
          </cell>
          <cell r="C19" t="str">
            <v>MACHACCA</v>
          </cell>
          <cell r="D19" t="str">
            <v>TUNQUIPA</v>
          </cell>
          <cell r="E19" t="str">
            <v>MIGUEL GERARDO</v>
          </cell>
          <cell r="F19" t="str">
            <v>DNI</v>
          </cell>
          <cell r="G19" t="str">
            <v>73053081</v>
          </cell>
          <cell r="H19" t="str">
            <v>M</v>
          </cell>
          <cell r="I19">
            <v>35585</v>
          </cell>
          <cell r="J19" t="str">
            <v>INGENIERO DE COSTOS Y PLANIFICACIÓN DE LA DEMANDA</v>
          </cell>
          <cell r="K19" t="str">
            <v>VULCANO</v>
          </cell>
          <cell r="L19" t="str">
            <v>MA SAM FSE &amp; LCS PE</v>
          </cell>
          <cell r="M19" t="str">
            <v>PE012224</v>
          </cell>
          <cell r="N19" t="str">
            <v>PROYECTO PEBBLES II</v>
          </cell>
          <cell r="O19" t="str">
            <v>SCOTIABANK PERU SAA</v>
          </cell>
          <cell r="P19" t="str">
            <v>BIN</v>
          </cell>
          <cell r="Q19" t="str">
            <v>00931020700871557042</v>
          </cell>
          <cell r="R19" t="str">
            <v>AFP INTEGRA</v>
          </cell>
          <cell r="S19" t="str">
            <v>655831MMTHQ4</v>
          </cell>
          <cell r="T19">
            <v>45957</v>
          </cell>
          <cell r="W19">
            <v>30</v>
          </cell>
          <cell r="X19">
            <v>6000</v>
          </cell>
          <cell r="Z19">
            <v>6000</v>
          </cell>
          <cell r="AB19">
            <v>6000</v>
          </cell>
          <cell r="AC19">
            <v>2400</v>
          </cell>
          <cell r="AE19">
            <v>72.33</v>
          </cell>
          <cell r="AF19">
            <v>600</v>
          </cell>
          <cell r="AH19">
            <v>82.2</v>
          </cell>
          <cell r="AI19">
            <v>120</v>
          </cell>
          <cell r="AJ19">
            <v>30</v>
          </cell>
          <cell r="AK19">
            <v>3304.53</v>
          </cell>
          <cell r="AL19">
            <v>405</v>
          </cell>
          <cell r="AM19">
            <v>135</v>
          </cell>
          <cell r="AN19">
            <v>42</v>
          </cell>
          <cell r="AO19">
            <v>30</v>
          </cell>
          <cell r="AP19">
            <v>45</v>
          </cell>
          <cell r="AQ19">
            <v>6.6</v>
          </cell>
          <cell r="AR19">
            <v>120</v>
          </cell>
          <cell r="AS19">
            <v>783.6</v>
          </cell>
          <cell r="AT19">
            <v>2695.47</v>
          </cell>
        </row>
        <row r="20">
          <cell r="A20" t="str">
            <v>70762892</v>
          </cell>
          <cell r="B20" t="str">
            <v>460855</v>
          </cell>
          <cell r="C20" t="str">
            <v>MALCA</v>
          </cell>
          <cell r="D20" t="str">
            <v>CARRASCO</v>
          </cell>
          <cell r="E20" t="str">
            <v>RICARDO FRANCO</v>
          </cell>
          <cell r="F20" t="str">
            <v>DNI</v>
          </cell>
          <cell r="G20" t="str">
            <v>70762892</v>
          </cell>
          <cell r="H20" t="str">
            <v>M</v>
          </cell>
          <cell r="I20">
            <v>32883</v>
          </cell>
          <cell r="J20" t="str">
            <v>TECNICO ELECTRICISTA- INSTRUMENTISTA</v>
          </cell>
          <cell r="K20" t="str">
            <v>VULCANO</v>
          </cell>
          <cell r="L20" t="str">
            <v>MA SAM FSE &amp; LCS PE</v>
          </cell>
          <cell r="M20" t="str">
            <v>PE012224</v>
          </cell>
          <cell r="N20" t="str">
            <v>PROYECTO PEBBLES II</v>
          </cell>
          <cell r="O20" t="str">
            <v>BANCO DE CREDITO DEL PERU S.A</v>
          </cell>
          <cell r="P20" t="str">
            <v>BIN</v>
          </cell>
          <cell r="Q20" t="str">
            <v>00219110955965401455</v>
          </cell>
          <cell r="R20" t="str">
            <v>AFP PROFUTURO</v>
          </cell>
          <cell r="S20" t="str">
            <v>628811RMCCR7</v>
          </cell>
          <cell r="T20">
            <v>45957</v>
          </cell>
          <cell r="W20">
            <v>30</v>
          </cell>
          <cell r="X20">
            <v>3500</v>
          </cell>
          <cell r="Y20">
            <v>113</v>
          </cell>
          <cell r="Z20">
            <v>3500</v>
          </cell>
          <cell r="AA20">
            <v>113</v>
          </cell>
          <cell r="AB20">
            <v>3613</v>
          </cell>
          <cell r="AC20">
            <v>1445.2</v>
          </cell>
          <cell r="AE20">
            <v>58.04</v>
          </cell>
          <cell r="AF20">
            <v>361.3</v>
          </cell>
          <cell r="AG20">
            <v>61.06</v>
          </cell>
          <cell r="AH20">
            <v>49.5</v>
          </cell>
          <cell r="AI20">
            <v>72.260000000000005</v>
          </cell>
          <cell r="AJ20">
            <v>18.07</v>
          </cell>
          <cell r="AK20">
            <v>2065.4299999999998</v>
          </cell>
          <cell r="AL20">
            <v>325.17</v>
          </cell>
          <cell r="AN20">
            <v>25.29</v>
          </cell>
          <cell r="AO20">
            <v>18.07</v>
          </cell>
          <cell r="AP20">
            <v>27.1</v>
          </cell>
          <cell r="AQ20">
            <v>3.97</v>
          </cell>
          <cell r="AR20">
            <v>72.260000000000005</v>
          </cell>
          <cell r="AS20">
            <v>471.86</v>
          </cell>
          <cell r="AT20">
            <v>1547.57</v>
          </cell>
        </row>
        <row r="21">
          <cell r="A21" t="str">
            <v>46222342</v>
          </cell>
          <cell r="B21" t="str">
            <v>460755</v>
          </cell>
          <cell r="C21" t="str">
            <v>MONTERREY</v>
          </cell>
          <cell r="D21" t="str">
            <v>LEON</v>
          </cell>
          <cell r="E21" t="str">
            <v>JUAN DANIEL</v>
          </cell>
          <cell r="F21" t="str">
            <v>DNI</v>
          </cell>
          <cell r="G21" t="str">
            <v>46222342</v>
          </cell>
          <cell r="H21" t="str">
            <v>M</v>
          </cell>
          <cell r="I21">
            <v>32866</v>
          </cell>
          <cell r="J21" t="str">
            <v>SUPERVISOR DE SEGURIDAD</v>
          </cell>
          <cell r="K21" t="str">
            <v>VULCANO</v>
          </cell>
          <cell r="L21" t="str">
            <v>MA SAM FSE &amp; LCS PE</v>
          </cell>
          <cell r="M21" t="str">
            <v>PE012224</v>
          </cell>
          <cell r="N21" t="str">
            <v>PROYECTO PEBBLES II</v>
          </cell>
          <cell r="O21" t="str">
            <v>BANCO INTERNACIONAL DEL PERU S.A.A - INTERBANK</v>
          </cell>
          <cell r="P21" t="str">
            <v>BIN</v>
          </cell>
          <cell r="Q21" t="str">
            <v>00320001345984091037</v>
          </cell>
          <cell r="R21" t="str">
            <v>NO APLICABLE</v>
          </cell>
          <cell r="T21">
            <v>45952</v>
          </cell>
          <cell r="W21">
            <v>30</v>
          </cell>
          <cell r="X21">
            <v>6500</v>
          </cell>
          <cell r="Y21">
            <v>113</v>
          </cell>
          <cell r="Z21">
            <v>6500</v>
          </cell>
          <cell r="AA21">
            <v>113</v>
          </cell>
          <cell r="AB21">
            <v>6613</v>
          </cell>
          <cell r="AC21">
            <v>2645.2</v>
          </cell>
          <cell r="AD21">
            <v>859.69</v>
          </cell>
          <cell r="AE21">
            <v>351.14</v>
          </cell>
          <cell r="AJ21">
            <v>33.07</v>
          </cell>
          <cell r="AK21">
            <v>3889.1</v>
          </cell>
          <cell r="AL21">
            <v>446.38</v>
          </cell>
          <cell r="AM21">
            <v>148.79</v>
          </cell>
          <cell r="AN21">
            <v>46.29</v>
          </cell>
          <cell r="AO21">
            <v>33.07</v>
          </cell>
          <cell r="AP21">
            <v>49.6</v>
          </cell>
          <cell r="AQ21">
            <v>7.27</v>
          </cell>
          <cell r="AS21">
            <v>731.4</v>
          </cell>
          <cell r="AT21">
            <v>2723.9</v>
          </cell>
        </row>
        <row r="22">
          <cell r="A22" t="str">
            <v>71902174</v>
          </cell>
          <cell r="B22" t="str">
            <v>460648</v>
          </cell>
          <cell r="C22" t="str">
            <v>MOORE</v>
          </cell>
          <cell r="D22" t="str">
            <v>DURAN</v>
          </cell>
          <cell r="E22" t="str">
            <v>KEEN YOU</v>
          </cell>
          <cell r="F22" t="str">
            <v>DNI</v>
          </cell>
          <cell r="G22" t="str">
            <v>71902174</v>
          </cell>
          <cell r="H22" t="str">
            <v>M</v>
          </cell>
          <cell r="I22">
            <v>34807</v>
          </cell>
          <cell r="J22" t="str">
            <v>PLANIFICADOR MECANICO ELECTRICO</v>
          </cell>
          <cell r="K22" t="str">
            <v>VULCANO</v>
          </cell>
          <cell r="L22" t="str">
            <v>MA SAM FSE &amp; LCS PE</v>
          </cell>
          <cell r="M22" t="str">
            <v>PE012224</v>
          </cell>
          <cell r="N22" t="str">
            <v>PROYECTO PEBBLES II</v>
          </cell>
          <cell r="O22" t="str">
            <v xml:space="preserve">BANCO BBVA PERÚ S.A </v>
          </cell>
          <cell r="P22" t="str">
            <v>AHS</v>
          </cell>
          <cell r="Q22" t="str">
            <v>00110579090219244761</v>
          </cell>
          <cell r="R22" t="str">
            <v>AFP HABITAT</v>
          </cell>
          <cell r="S22" t="str">
            <v>648051KMDRA2</v>
          </cell>
          <cell r="T22">
            <v>45950</v>
          </cell>
          <cell r="W22">
            <v>30</v>
          </cell>
          <cell r="X22">
            <v>6500</v>
          </cell>
          <cell r="Y22">
            <v>113</v>
          </cell>
          <cell r="Z22">
            <v>6500</v>
          </cell>
          <cell r="AA22">
            <v>113</v>
          </cell>
          <cell r="AB22">
            <v>6613</v>
          </cell>
          <cell r="AC22">
            <v>2645.2</v>
          </cell>
          <cell r="AE22">
            <v>125.92</v>
          </cell>
          <cell r="AF22">
            <v>661.3</v>
          </cell>
          <cell r="AH22">
            <v>90.6</v>
          </cell>
          <cell r="AI22">
            <v>132.26</v>
          </cell>
          <cell r="AJ22">
            <v>33.07</v>
          </cell>
          <cell r="AK22">
            <v>3688.35</v>
          </cell>
          <cell r="AL22">
            <v>446.38</v>
          </cell>
          <cell r="AM22">
            <v>148.79</v>
          </cell>
          <cell r="AN22">
            <v>46.29</v>
          </cell>
          <cell r="AO22">
            <v>33.07</v>
          </cell>
          <cell r="AP22">
            <v>49.6</v>
          </cell>
          <cell r="AQ22">
            <v>7.27</v>
          </cell>
          <cell r="AR22">
            <v>132.26</v>
          </cell>
          <cell r="AS22">
            <v>863.66</v>
          </cell>
          <cell r="AT22">
            <v>2924.65</v>
          </cell>
        </row>
        <row r="23">
          <cell r="A23" t="str">
            <v>18202152</v>
          </cell>
          <cell r="B23" t="str">
            <v>461073</v>
          </cell>
          <cell r="C23" t="str">
            <v>RODRIGUEZ</v>
          </cell>
          <cell r="D23" t="str">
            <v>AVILA</v>
          </cell>
          <cell r="E23" t="str">
            <v>ROBERT MICHAEL</v>
          </cell>
          <cell r="F23" t="str">
            <v>DNI</v>
          </cell>
          <cell r="G23" t="str">
            <v>18202152</v>
          </cell>
          <cell r="H23" t="str">
            <v>M</v>
          </cell>
          <cell r="I23">
            <v>28142</v>
          </cell>
          <cell r="J23" t="str">
            <v>OPERADOR SALA DE CONTROL</v>
          </cell>
          <cell r="K23" t="str">
            <v>VULCANO</v>
          </cell>
          <cell r="L23" t="str">
            <v>MA SAM FSE &amp; LCS PE</v>
          </cell>
          <cell r="M23" t="str">
            <v>PE012224</v>
          </cell>
          <cell r="N23" t="str">
            <v>PROYECTO PEBBLES II</v>
          </cell>
          <cell r="O23" t="str">
            <v>BANCO DE CREDITO DEL PERU S.A</v>
          </cell>
          <cell r="P23" t="str">
            <v>BIN</v>
          </cell>
          <cell r="Q23" t="str">
            <v>00257011227530004701</v>
          </cell>
          <cell r="R23" t="str">
            <v>AFP PRIMA</v>
          </cell>
          <cell r="S23" t="str">
            <v>581401RRARL6</v>
          </cell>
          <cell r="T23">
            <v>45976</v>
          </cell>
          <cell r="W23">
            <v>16</v>
          </cell>
          <cell r="X23">
            <v>3450</v>
          </cell>
          <cell r="Y23">
            <v>113</v>
          </cell>
          <cell r="Z23">
            <v>1840</v>
          </cell>
          <cell r="AA23">
            <v>113</v>
          </cell>
          <cell r="AB23">
            <v>1953</v>
          </cell>
          <cell r="AF23">
            <v>195.3</v>
          </cell>
          <cell r="AG23">
            <v>31.25</v>
          </cell>
          <cell r="AH23">
            <v>26.76</v>
          </cell>
          <cell r="AI23">
            <v>39.06</v>
          </cell>
          <cell r="AJ23">
            <v>9.77</v>
          </cell>
          <cell r="AK23">
            <v>302.14</v>
          </cell>
          <cell r="AL23">
            <v>96.26</v>
          </cell>
          <cell r="AN23">
            <v>13.67</v>
          </cell>
          <cell r="AO23">
            <v>9.77</v>
          </cell>
          <cell r="AP23">
            <v>14.65</v>
          </cell>
          <cell r="AQ23">
            <v>3.32</v>
          </cell>
          <cell r="AR23">
            <v>39.06</v>
          </cell>
          <cell r="AS23">
            <v>176.73</v>
          </cell>
          <cell r="AT23">
            <v>1650.86</v>
          </cell>
        </row>
        <row r="24">
          <cell r="A24" t="str">
            <v>45713627</v>
          </cell>
          <cell r="B24" t="str">
            <v>446522</v>
          </cell>
          <cell r="C24" t="str">
            <v>ROJAS</v>
          </cell>
          <cell r="D24" t="str">
            <v>ALVARADO</v>
          </cell>
          <cell r="E24" t="str">
            <v>LUIS GUSTAVO</v>
          </cell>
          <cell r="F24" t="str">
            <v>DNI</v>
          </cell>
          <cell r="G24" t="str">
            <v>45713627</v>
          </cell>
          <cell r="H24" t="str">
            <v>M</v>
          </cell>
          <cell r="I24">
            <v>32587</v>
          </cell>
          <cell r="J24" t="str">
            <v>MECANICO SOLDADOR</v>
          </cell>
          <cell r="K24" t="str">
            <v>VULCANO</v>
          </cell>
          <cell r="L24" t="str">
            <v>MA SAM FSE &amp; LCS PE</v>
          </cell>
          <cell r="M24" t="str">
            <v>PE012224</v>
          </cell>
          <cell r="N24" t="str">
            <v>PROYECTO PEBBLES II</v>
          </cell>
          <cell r="O24" t="str">
            <v xml:space="preserve">BANCO INTERAMERICANO DE FINANZAS S.A                                                                </v>
          </cell>
          <cell r="P24" t="str">
            <v>BIN</v>
          </cell>
          <cell r="Q24" t="str">
            <v>03820410801690189149</v>
          </cell>
          <cell r="R24" t="str">
            <v>AFP PROFUTURO</v>
          </cell>
          <cell r="S24" t="str">
            <v>625851LRAAA6</v>
          </cell>
          <cell r="T24">
            <v>45957</v>
          </cell>
          <cell r="W24">
            <v>30</v>
          </cell>
          <cell r="X24">
            <v>3400</v>
          </cell>
          <cell r="Z24">
            <v>3400</v>
          </cell>
          <cell r="AB24">
            <v>3400</v>
          </cell>
          <cell r="AC24">
            <v>1360</v>
          </cell>
          <cell r="AE24">
            <v>18.989999999999998</v>
          </cell>
          <cell r="AF24">
            <v>340</v>
          </cell>
          <cell r="AG24">
            <v>57.46</v>
          </cell>
          <cell r="AH24">
            <v>46.58</v>
          </cell>
          <cell r="AI24">
            <v>68</v>
          </cell>
          <cell r="AJ24">
            <v>17</v>
          </cell>
          <cell r="AK24">
            <v>1908.03</v>
          </cell>
          <cell r="AL24">
            <v>306</v>
          </cell>
          <cell r="AN24">
            <v>23.8</v>
          </cell>
          <cell r="AO24">
            <v>17</v>
          </cell>
          <cell r="AP24">
            <v>25.5</v>
          </cell>
          <cell r="AQ24">
            <v>3.74</v>
          </cell>
          <cell r="AR24">
            <v>68</v>
          </cell>
          <cell r="AS24">
            <v>444.04</v>
          </cell>
          <cell r="AT24">
            <v>1491.97</v>
          </cell>
        </row>
        <row r="25">
          <cell r="A25" t="str">
            <v>73891787</v>
          </cell>
          <cell r="B25" t="str">
            <v>460857</v>
          </cell>
          <cell r="C25" t="str">
            <v>ROSALES</v>
          </cell>
          <cell r="D25" t="str">
            <v>LOBATON</v>
          </cell>
          <cell r="E25" t="str">
            <v>ALEX WILLIAM</v>
          </cell>
          <cell r="F25" t="str">
            <v>DNI</v>
          </cell>
          <cell r="G25" t="str">
            <v>73891787</v>
          </cell>
          <cell r="H25" t="str">
            <v>M</v>
          </cell>
          <cell r="I25">
            <v>35027</v>
          </cell>
          <cell r="J25" t="str">
            <v>OPERADOR SALA DE CONTROL</v>
          </cell>
          <cell r="K25" t="str">
            <v>VULCANO</v>
          </cell>
          <cell r="L25" t="str">
            <v>MA SAM FSE &amp; LCS PE</v>
          </cell>
          <cell r="M25" t="str">
            <v>PE012224</v>
          </cell>
          <cell r="N25" t="str">
            <v>PROYECTO PEBBLES II</v>
          </cell>
          <cell r="O25" t="str">
            <v>BANCO DE CREDITO DEL PERU S.A</v>
          </cell>
          <cell r="P25" t="str">
            <v>BIN</v>
          </cell>
          <cell r="Q25" t="str">
            <v>00247019077898309337</v>
          </cell>
          <cell r="R25" t="str">
            <v>AFP INTEGRA</v>
          </cell>
          <cell r="S25" t="str">
            <v>650251ARLAA2</v>
          </cell>
          <cell r="T25">
            <v>45957</v>
          </cell>
          <cell r="W25">
            <v>30</v>
          </cell>
          <cell r="X25">
            <v>3450</v>
          </cell>
          <cell r="Z25">
            <v>3450</v>
          </cell>
          <cell r="AB25">
            <v>3450</v>
          </cell>
          <cell r="AC25">
            <v>1380</v>
          </cell>
          <cell r="AF25">
            <v>345</v>
          </cell>
          <cell r="AH25">
            <v>47.27</v>
          </cell>
          <cell r="AI25">
            <v>69</v>
          </cell>
          <cell r="AJ25">
            <v>17.25</v>
          </cell>
          <cell r="AK25">
            <v>1858.52</v>
          </cell>
          <cell r="AL25">
            <v>310.5</v>
          </cell>
          <cell r="AN25">
            <v>24.15</v>
          </cell>
          <cell r="AO25">
            <v>17.25</v>
          </cell>
          <cell r="AP25">
            <v>25.88</v>
          </cell>
          <cell r="AQ25">
            <v>3.8</v>
          </cell>
          <cell r="AR25">
            <v>69</v>
          </cell>
          <cell r="AS25">
            <v>450.58</v>
          </cell>
          <cell r="AT25">
            <v>1591.48</v>
          </cell>
        </row>
        <row r="26">
          <cell r="A26" t="str">
            <v>44782782</v>
          </cell>
          <cell r="B26" t="str">
            <v>460798</v>
          </cell>
          <cell r="C26" t="str">
            <v>SOTO</v>
          </cell>
          <cell r="D26" t="str">
            <v>ZAPATA</v>
          </cell>
          <cell r="E26" t="str">
            <v>SOLEDAD</v>
          </cell>
          <cell r="F26" t="str">
            <v>DNI</v>
          </cell>
          <cell r="G26" t="str">
            <v>44782782</v>
          </cell>
          <cell r="H26" t="str">
            <v>F</v>
          </cell>
          <cell r="I26">
            <v>32137</v>
          </cell>
          <cell r="J26" t="str">
            <v xml:space="preserve">ASISTENTE DE SERVICIOS </v>
          </cell>
          <cell r="K26" t="str">
            <v>VULCANO</v>
          </cell>
          <cell r="L26" t="str">
            <v>MA SAM FSE &amp; LCS PE</v>
          </cell>
          <cell r="M26" t="str">
            <v>PE012224</v>
          </cell>
          <cell r="N26" t="str">
            <v>PROYECTO PEBBLES II</v>
          </cell>
          <cell r="O26" t="str">
            <v>BANCO DE CREDITO DEL PERU S.A</v>
          </cell>
          <cell r="P26" t="str">
            <v>BIN</v>
          </cell>
          <cell r="Q26" t="str">
            <v>00219313832733407717</v>
          </cell>
          <cell r="R26" t="str">
            <v>AFP PRIMA</v>
          </cell>
          <cell r="S26" t="str">
            <v>321350SSZOA5</v>
          </cell>
          <cell r="T26">
            <v>45957</v>
          </cell>
          <cell r="W26">
            <v>30</v>
          </cell>
          <cell r="X26">
            <v>3200</v>
          </cell>
          <cell r="Z26">
            <v>3200</v>
          </cell>
          <cell r="AB26">
            <v>3200</v>
          </cell>
          <cell r="AC26">
            <v>1280</v>
          </cell>
          <cell r="AF26">
            <v>320</v>
          </cell>
          <cell r="AH26">
            <v>43.84</v>
          </cell>
          <cell r="AI26">
            <v>64</v>
          </cell>
          <cell r="AJ26">
            <v>16</v>
          </cell>
          <cell r="AK26">
            <v>1723.84</v>
          </cell>
          <cell r="AL26">
            <v>216</v>
          </cell>
          <cell r="AM26">
            <v>72</v>
          </cell>
          <cell r="AN26">
            <v>22.4</v>
          </cell>
          <cell r="AO26">
            <v>16</v>
          </cell>
          <cell r="AP26">
            <v>24</v>
          </cell>
          <cell r="AQ26">
            <v>5.44</v>
          </cell>
          <cell r="AR26">
            <v>64</v>
          </cell>
          <cell r="AS26">
            <v>419.84</v>
          </cell>
          <cell r="AT26">
            <v>1476.16</v>
          </cell>
        </row>
        <row r="27">
          <cell r="A27" t="str">
            <v>71134589</v>
          </cell>
          <cell r="B27" t="str">
            <v>460800</v>
          </cell>
          <cell r="C27" t="str">
            <v>TAYPE</v>
          </cell>
          <cell r="D27" t="str">
            <v>MONTAÑEZ</v>
          </cell>
          <cell r="E27" t="str">
            <v>JEAN</v>
          </cell>
          <cell r="F27" t="str">
            <v>DNI</v>
          </cell>
          <cell r="G27" t="str">
            <v>71134589</v>
          </cell>
          <cell r="H27" t="str">
            <v>M</v>
          </cell>
          <cell r="I27">
            <v>35158</v>
          </cell>
          <cell r="J27" t="str">
            <v>MECANICO ALMACENERO</v>
          </cell>
          <cell r="K27" t="str">
            <v>VULCANO</v>
          </cell>
          <cell r="L27" t="str">
            <v>MA SAM FSE &amp; LCS PE</v>
          </cell>
          <cell r="M27" t="str">
            <v>PE012224</v>
          </cell>
          <cell r="N27" t="str">
            <v>PROYECTO PEBBLES II</v>
          </cell>
          <cell r="O27" t="str">
            <v>BANCO DE CREDITO DEL PERU S.A</v>
          </cell>
          <cell r="P27" t="str">
            <v>BIN</v>
          </cell>
          <cell r="Q27" t="str">
            <v>00235510138380702267</v>
          </cell>
          <cell r="R27" t="str">
            <v>NO APLICABLE</v>
          </cell>
          <cell r="T27">
            <v>45957</v>
          </cell>
          <cell r="W27">
            <v>30</v>
          </cell>
          <cell r="X27">
            <v>3500</v>
          </cell>
          <cell r="Z27">
            <v>3500</v>
          </cell>
          <cell r="AB27">
            <v>3500</v>
          </cell>
          <cell r="AC27">
            <v>1400</v>
          </cell>
          <cell r="AD27">
            <v>455</v>
          </cell>
          <cell r="AJ27">
            <v>17.5</v>
          </cell>
          <cell r="AK27">
            <v>1872.5</v>
          </cell>
          <cell r="AL27">
            <v>315</v>
          </cell>
          <cell r="AN27">
            <v>24.5</v>
          </cell>
          <cell r="AO27">
            <v>17.5</v>
          </cell>
          <cell r="AP27">
            <v>26.25</v>
          </cell>
          <cell r="AQ27">
            <v>3.85</v>
          </cell>
          <cell r="AS27">
            <v>387.1</v>
          </cell>
          <cell r="AT27">
            <v>1627.5</v>
          </cell>
        </row>
        <row r="28">
          <cell r="A28" t="str">
            <v>47209288</v>
          </cell>
          <cell r="B28" t="str">
            <v>460793</v>
          </cell>
          <cell r="C28" t="str">
            <v>TOPALAYA</v>
          </cell>
          <cell r="D28" t="str">
            <v>CARRION</v>
          </cell>
          <cell r="E28" t="str">
            <v>CRISTIAN RAUL</v>
          </cell>
          <cell r="F28" t="str">
            <v>DNI</v>
          </cell>
          <cell r="G28" t="str">
            <v>47209288</v>
          </cell>
          <cell r="H28" t="str">
            <v>M</v>
          </cell>
          <cell r="I28">
            <v>33624</v>
          </cell>
          <cell r="J28" t="str">
            <v>MECANICO SOLDADOR</v>
          </cell>
          <cell r="K28" t="str">
            <v>VULCANO</v>
          </cell>
          <cell r="L28" t="str">
            <v>MA SAM FSE &amp; LCS PE</v>
          </cell>
          <cell r="M28" t="str">
            <v>PE012224</v>
          </cell>
          <cell r="N28" t="str">
            <v>PROYECTO PEBBLES II</v>
          </cell>
          <cell r="O28" t="str">
            <v xml:space="preserve">BANCO BBVA PERÚ S.A </v>
          </cell>
          <cell r="P28" t="str">
            <v>AHS</v>
          </cell>
          <cell r="Q28" t="str">
            <v>00110057790246979414</v>
          </cell>
          <cell r="R28" t="str">
            <v>AFP INTEGRA</v>
          </cell>
          <cell r="S28" t="str">
            <v>636221CTCAR1</v>
          </cell>
          <cell r="T28">
            <v>45957</v>
          </cell>
          <cell r="W28">
            <v>30</v>
          </cell>
          <cell r="X28">
            <v>3400</v>
          </cell>
          <cell r="Z28">
            <v>3400</v>
          </cell>
          <cell r="AB28">
            <v>3400</v>
          </cell>
          <cell r="AC28">
            <v>1360</v>
          </cell>
          <cell r="AF28">
            <v>340</v>
          </cell>
          <cell r="AH28">
            <v>46.58</v>
          </cell>
          <cell r="AI28">
            <v>68</v>
          </cell>
          <cell r="AJ28">
            <v>17</v>
          </cell>
          <cell r="AK28">
            <v>1831.58</v>
          </cell>
          <cell r="AL28">
            <v>306</v>
          </cell>
          <cell r="AN28">
            <v>23.8</v>
          </cell>
          <cell r="AO28">
            <v>17</v>
          </cell>
          <cell r="AP28">
            <v>25.5</v>
          </cell>
          <cell r="AQ28">
            <v>3.74</v>
          </cell>
          <cell r="AR28">
            <v>68</v>
          </cell>
          <cell r="AS28">
            <v>444.04</v>
          </cell>
          <cell r="AT28">
            <v>1568.42</v>
          </cell>
        </row>
        <row r="29">
          <cell r="A29" t="str">
            <v>73028319</v>
          </cell>
          <cell r="B29" t="str">
            <v>460918</v>
          </cell>
          <cell r="C29" t="str">
            <v>UBIA</v>
          </cell>
          <cell r="D29" t="str">
            <v>DEL AGUILA</v>
          </cell>
          <cell r="E29" t="str">
            <v>JEANCARLOS</v>
          </cell>
          <cell r="F29" t="str">
            <v>DNI</v>
          </cell>
          <cell r="G29" t="str">
            <v>73028319</v>
          </cell>
          <cell r="H29" t="str">
            <v>M</v>
          </cell>
          <cell r="I29">
            <v>35728</v>
          </cell>
          <cell r="J29" t="str">
            <v>OPERADOR SALA DE CONTROL</v>
          </cell>
          <cell r="K29" t="str">
            <v>VULCANO</v>
          </cell>
          <cell r="L29" t="str">
            <v>MA SAM FSE &amp; LCS PE</v>
          </cell>
          <cell r="M29" t="str">
            <v>PE012224</v>
          </cell>
          <cell r="N29" t="str">
            <v>PROYECTO PEBBLES II</v>
          </cell>
          <cell r="O29" t="str">
            <v xml:space="preserve">BANCO BBVA PERÚ S.A </v>
          </cell>
          <cell r="P29" t="str">
            <v>AHS</v>
          </cell>
          <cell r="Q29" t="str">
            <v>00110579010233535477</v>
          </cell>
          <cell r="R29" t="str">
            <v>AFP INTEGRA</v>
          </cell>
          <cell r="S29" t="str">
            <v>657261JUAAI4</v>
          </cell>
          <cell r="T29">
            <v>45964</v>
          </cell>
          <cell r="W29">
            <v>28</v>
          </cell>
          <cell r="X29">
            <v>3450</v>
          </cell>
          <cell r="Z29">
            <v>3220</v>
          </cell>
          <cell r="AB29">
            <v>3220</v>
          </cell>
          <cell r="AC29">
            <v>1288</v>
          </cell>
          <cell r="AF29">
            <v>322</v>
          </cell>
          <cell r="AH29">
            <v>44.11</v>
          </cell>
          <cell r="AI29">
            <v>64.400000000000006</v>
          </cell>
          <cell r="AJ29">
            <v>16.100000000000001</v>
          </cell>
          <cell r="AK29">
            <v>1734.61</v>
          </cell>
          <cell r="AL29">
            <v>289.8</v>
          </cell>
          <cell r="AN29">
            <v>22.54</v>
          </cell>
          <cell r="AO29">
            <v>16.100000000000001</v>
          </cell>
          <cell r="AP29">
            <v>24.15</v>
          </cell>
          <cell r="AQ29">
            <v>3.54</v>
          </cell>
          <cell r="AR29">
            <v>64.400000000000006</v>
          </cell>
          <cell r="AS29">
            <v>420.53</v>
          </cell>
          <cell r="AT29">
            <v>1485.39</v>
          </cell>
        </row>
        <row r="30">
          <cell r="A30" t="str">
            <v>46181654</v>
          </cell>
          <cell r="B30" t="str">
            <v>460646</v>
          </cell>
          <cell r="C30" t="str">
            <v>URETA</v>
          </cell>
          <cell r="D30" t="str">
            <v>VILLAFUERTE</v>
          </cell>
          <cell r="E30" t="str">
            <v>ALEXANDER</v>
          </cell>
          <cell r="F30" t="str">
            <v>DNI</v>
          </cell>
          <cell r="G30" t="str">
            <v>46181654</v>
          </cell>
          <cell r="H30" t="str">
            <v>M</v>
          </cell>
          <cell r="I30">
            <v>32874</v>
          </cell>
          <cell r="J30" t="str">
            <v>MECANICO ALMACENERO</v>
          </cell>
          <cell r="K30" t="str">
            <v>VULCANO</v>
          </cell>
          <cell r="L30" t="str">
            <v>MA SAM FSE &amp; LCS PE</v>
          </cell>
          <cell r="M30" t="str">
            <v>PE012224</v>
          </cell>
          <cell r="N30" t="str">
            <v>PROYECTO PEBBLES II</v>
          </cell>
          <cell r="O30" t="str">
            <v>BANCO DE CREDITO DEL PERU S.A</v>
          </cell>
          <cell r="P30" t="str">
            <v>BIN</v>
          </cell>
          <cell r="Q30" t="str">
            <v>00219412102402408793</v>
          </cell>
          <cell r="R30" t="str">
            <v>AFP INTEGRA</v>
          </cell>
          <cell r="S30" t="str">
            <v>628721AUVTL7</v>
          </cell>
          <cell r="T30">
            <v>45950</v>
          </cell>
          <cell r="W30">
            <v>30</v>
          </cell>
          <cell r="X30">
            <v>3500</v>
          </cell>
          <cell r="Y30">
            <v>113</v>
          </cell>
          <cell r="Z30">
            <v>3500</v>
          </cell>
          <cell r="AA30">
            <v>113</v>
          </cell>
          <cell r="AB30">
            <v>3613</v>
          </cell>
          <cell r="AC30">
            <v>1445.2</v>
          </cell>
          <cell r="AF30">
            <v>361.3</v>
          </cell>
          <cell r="AG30">
            <v>56</v>
          </cell>
          <cell r="AH30">
            <v>49.5</v>
          </cell>
          <cell r="AI30">
            <v>72.260000000000005</v>
          </cell>
          <cell r="AJ30">
            <v>18.07</v>
          </cell>
          <cell r="AK30">
            <v>2002.33</v>
          </cell>
          <cell r="AL30">
            <v>325.17</v>
          </cell>
          <cell r="AN30">
            <v>25.29</v>
          </cell>
          <cell r="AO30">
            <v>18.07</v>
          </cell>
          <cell r="AP30">
            <v>27.1</v>
          </cell>
          <cell r="AQ30">
            <v>3.97</v>
          </cell>
          <cell r="AR30">
            <v>72.260000000000005</v>
          </cell>
          <cell r="AS30">
            <v>471.86</v>
          </cell>
          <cell r="AT30">
            <v>1610.67</v>
          </cell>
        </row>
        <row r="31">
          <cell r="A31" t="str">
            <v>48240247</v>
          </cell>
          <cell r="B31" t="str">
            <v>460792</v>
          </cell>
          <cell r="C31" t="str">
            <v>VILA</v>
          </cell>
          <cell r="D31" t="str">
            <v>DE LA CRUZ</v>
          </cell>
          <cell r="E31" t="str">
            <v>RAUL</v>
          </cell>
          <cell r="F31" t="str">
            <v>DNI</v>
          </cell>
          <cell r="G31" t="str">
            <v>48240247</v>
          </cell>
          <cell r="H31" t="str">
            <v>M</v>
          </cell>
          <cell r="I31">
            <v>34104</v>
          </cell>
          <cell r="J31" t="str">
            <v>MECANICO SOLDADOR</v>
          </cell>
          <cell r="K31" t="str">
            <v>VULCANO</v>
          </cell>
          <cell r="L31" t="str">
            <v>MA SAM FSE &amp; LCS PE</v>
          </cell>
          <cell r="M31" t="str">
            <v>PE012224</v>
          </cell>
          <cell r="N31" t="str">
            <v>PROYECTO PEBBLES II</v>
          </cell>
          <cell r="O31" t="str">
            <v xml:space="preserve">BANCO BBVA PERÚ S.A </v>
          </cell>
          <cell r="P31" t="str">
            <v>AHS</v>
          </cell>
          <cell r="Q31" t="str">
            <v>00110321790200951668</v>
          </cell>
          <cell r="R31" t="str">
            <v>NO APLICABLE</v>
          </cell>
          <cell r="T31">
            <v>45957</v>
          </cell>
          <cell r="W31">
            <v>30</v>
          </cell>
          <cell r="X31">
            <v>3400</v>
          </cell>
          <cell r="Y31">
            <v>113</v>
          </cell>
          <cell r="Z31">
            <v>3400</v>
          </cell>
          <cell r="AA31">
            <v>113</v>
          </cell>
          <cell r="AB31">
            <v>3513</v>
          </cell>
          <cell r="AC31">
            <v>1405.2</v>
          </cell>
          <cell r="AD31">
            <v>456.69</v>
          </cell>
          <cell r="AJ31">
            <v>17.57</v>
          </cell>
          <cell r="AK31">
            <v>1879.46</v>
          </cell>
          <cell r="AL31">
            <v>316.17</v>
          </cell>
          <cell r="AN31">
            <v>24.59</v>
          </cell>
          <cell r="AO31">
            <v>17.57</v>
          </cell>
          <cell r="AP31">
            <v>26.35</v>
          </cell>
          <cell r="AQ31">
            <v>3.86</v>
          </cell>
          <cell r="AS31">
            <v>388.54</v>
          </cell>
          <cell r="AT31">
            <v>1633.54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321B4-BE07-458C-9701-777F061C9150}">
  <dimension ref="A3:M13"/>
  <sheetViews>
    <sheetView tabSelected="1" workbookViewId="0">
      <pane xSplit="4" ySplit="6" topLeftCell="E7" activePane="bottomRight" state="frozen"/>
      <selection pane="topRight" activeCell="F1" sqref="F1"/>
      <selection pane="bottomLeft" activeCell="A7" sqref="A7"/>
      <selection pane="bottomRight" activeCell="F21" sqref="F21"/>
    </sheetView>
  </sheetViews>
  <sheetFormatPr baseColWidth="10" defaultColWidth="9.109375" defaultRowHeight="10.199999999999999" x14ac:dyDescent="0.2"/>
  <cols>
    <col min="1" max="1" width="10.33203125" style="2" customWidth="1"/>
    <col min="2" max="2" width="13.77734375" style="2" customWidth="1"/>
    <col min="3" max="3" width="13.88671875" style="2" customWidth="1"/>
    <col min="4" max="4" width="11.5546875" style="2" bestFit="1" customWidth="1"/>
    <col min="5" max="5" width="10.21875" style="36" customWidth="1"/>
    <col min="6" max="6" width="10.33203125" style="36" customWidth="1"/>
    <col min="7" max="7" width="7.6640625" style="36" customWidth="1"/>
    <col min="8" max="8" width="23.109375" style="36" customWidth="1"/>
    <col min="9" max="9" width="10.21875" style="2" customWidth="1"/>
    <col min="10" max="10" width="9.109375" style="2"/>
    <col min="11" max="11" width="11.33203125" style="2" customWidth="1"/>
    <col min="12" max="12" width="9.109375" style="36"/>
    <col min="13" max="16384" width="9.109375" style="2"/>
  </cols>
  <sheetData>
    <row r="3" spans="1:13" x14ac:dyDescent="0.2">
      <c r="A3" s="1" t="s">
        <v>0</v>
      </c>
      <c r="B3" s="36"/>
    </row>
    <row r="4" spans="1:13" x14ac:dyDescent="0.2">
      <c r="A4" s="1" t="s">
        <v>1</v>
      </c>
    </row>
    <row r="6" spans="1:13" s="40" customFormat="1" ht="23.4" customHeight="1" x14ac:dyDescent="0.3">
      <c r="A6" s="37" t="s">
        <v>2</v>
      </c>
      <c r="B6" s="37" t="s">
        <v>4</v>
      </c>
      <c r="C6" s="37" t="s">
        <v>5</v>
      </c>
      <c r="D6" s="37" t="s">
        <v>6</v>
      </c>
      <c r="E6" s="37" t="s">
        <v>7</v>
      </c>
      <c r="F6" s="37" t="s">
        <v>8</v>
      </c>
      <c r="G6" s="37" t="s">
        <v>17</v>
      </c>
      <c r="H6" s="37" t="s">
        <v>18</v>
      </c>
      <c r="I6" s="39" t="s">
        <v>49</v>
      </c>
    </row>
    <row r="7" spans="1:13" x14ac:dyDescent="0.2">
      <c r="A7" s="41" t="s">
        <v>132</v>
      </c>
      <c r="B7" s="48" t="s">
        <v>133</v>
      </c>
      <c r="C7" s="3" t="s">
        <v>134</v>
      </c>
      <c r="D7" s="3" t="s">
        <v>135</v>
      </c>
      <c r="E7" s="41" t="s">
        <v>55</v>
      </c>
      <c r="F7" s="41" t="s">
        <v>132</v>
      </c>
      <c r="G7" s="41" t="s">
        <v>72</v>
      </c>
      <c r="H7" s="41" t="s">
        <v>137</v>
      </c>
      <c r="I7" s="6">
        <v>374.05</v>
      </c>
    </row>
    <row r="8" spans="1:13" x14ac:dyDescent="0.2">
      <c r="A8" s="41" t="s">
        <v>175</v>
      </c>
      <c r="B8" s="48" t="s">
        <v>176</v>
      </c>
      <c r="C8" s="3" t="s">
        <v>177</v>
      </c>
      <c r="D8" s="3" t="s">
        <v>178</v>
      </c>
      <c r="E8" s="41" t="s">
        <v>55</v>
      </c>
      <c r="F8" s="41" t="s">
        <v>175</v>
      </c>
      <c r="G8" s="41" t="s">
        <v>72</v>
      </c>
      <c r="H8" s="41" t="s">
        <v>179</v>
      </c>
      <c r="I8" s="6">
        <v>296.66000000000003</v>
      </c>
    </row>
    <row r="9" spans="1:13" x14ac:dyDescent="0.2">
      <c r="A9" s="8"/>
      <c r="B9" s="8"/>
      <c r="C9" s="8"/>
      <c r="D9" s="8"/>
      <c r="E9" s="43"/>
      <c r="F9" s="43"/>
      <c r="G9" s="43"/>
      <c r="H9" s="43"/>
      <c r="I9" s="9">
        <f>SUM(I7:I8)</f>
        <v>670.71</v>
      </c>
    </row>
    <row r="12" spans="1:13" x14ac:dyDescent="0.2">
      <c r="K12" s="50" t="s">
        <v>269</v>
      </c>
      <c r="L12" s="50" t="s">
        <v>270</v>
      </c>
      <c r="M12" s="50" t="s">
        <v>271</v>
      </c>
    </row>
    <row r="13" spans="1:13" x14ac:dyDescent="0.2">
      <c r="K13" s="51" t="s">
        <v>272</v>
      </c>
      <c r="L13" s="49">
        <v>2</v>
      </c>
      <c r="M13" s="52">
        <f>+I9</f>
        <v>670.71</v>
      </c>
    </row>
  </sheetData>
  <autoFilter ref="A6:BB932" xr:uid="{00000000-0001-0000-0000-000000000000}"/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E8E00-3C08-44C6-8C60-79AA07E3E6CE}">
  <dimension ref="A3:AX42"/>
  <sheetViews>
    <sheetView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C20" sqref="C20:F20"/>
    </sheetView>
  </sheetViews>
  <sheetFormatPr baseColWidth="10" defaultColWidth="9.109375" defaultRowHeight="10.199999999999999" x14ac:dyDescent="0.2"/>
  <cols>
    <col min="1" max="1" width="10.33203125" style="2" customWidth="1"/>
    <col min="2" max="2" width="12.109375" style="36" customWidth="1"/>
    <col min="3" max="3" width="13.77734375" style="2" customWidth="1"/>
    <col min="4" max="4" width="13.88671875" style="2" customWidth="1"/>
    <col min="5" max="5" width="11.5546875" style="2" bestFit="1" customWidth="1"/>
    <col min="6" max="6" width="10.21875" style="36" customWidth="1"/>
    <col min="7" max="7" width="10.33203125" style="36" customWidth="1"/>
    <col min="8" max="8" width="6.44140625" style="36" customWidth="1"/>
    <col min="9" max="9" width="10.21875" style="36" customWidth="1"/>
    <col min="10" max="10" width="34.33203125" style="2" customWidth="1"/>
    <col min="11" max="11" width="8.109375" style="36" bestFit="1" customWidth="1"/>
    <col min="12" max="12" width="13.5546875" style="2" bestFit="1" customWidth="1"/>
    <col min="13" max="13" width="9.5546875" style="36" customWidth="1"/>
    <col min="14" max="14" width="16.44140625" style="2" customWidth="1"/>
    <col min="15" max="15" width="30.6640625" style="2" customWidth="1"/>
    <col min="16" max="16" width="7.6640625" style="36" customWidth="1"/>
    <col min="17" max="17" width="23.109375" style="36" customWidth="1"/>
    <col min="18" max="18" width="14.109375" style="2" customWidth="1"/>
    <col min="19" max="19" width="15.88671875" style="2" customWidth="1"/>
    <col min="20" max="20" width="11.109375" style="36" customWidth="1"/>
    <col min="21" max="21" width="12.109375" style="2" customWidth="1"/>
    <col min="22" max="22" width="14" style="2" customWidth="1"/>
    <col min="23" max="23" width="10.21875" style="36" customWidth="1"/>
    <col min="24" max="24" width="10.5546875" style="2" customWidth="1"/>
    <col min="25" max="25" width="12.109375" style="2" customWidth="1"/>
    <col min="26" max="26" width="9.88671875" style="2" customWidth="1"/>
    <col min="27" max="27" width="12.109375" style="2" customWidth="1"/>
    <col min="28" max="28" width="10.6640625" style="2" customWidth="1"/>
    <col min="29" max="29" width="10.77734375" style="2" customWidth="1"/>
    <col min="30" max="30" width="9.44140625" style="2" customWidth="1"/>
    <col min="31" max="31" width="11.44140625" style="2" customWidth="1"/>
    <col min="32" max="32" width="8.33203125" style="2" bestFit="1" customWidth="1"/>
    <col min="33" max="33" width="10" style="2" customWidth="1"/>
    <col min="34" max="37" width="11.109375" style="2" customWidth="1"/>
    <col min="38" max="38" width="8.33203125" style="2" customWidth="1"/>
    <col min="39" max="39" width="11.88671875" style="2" customWidth="1"/>
    <col min="40" max="40" width="9.6640625" style="2" customWidth="1"/>
    <col min="41" max="46" width="9.5546875" style="2" customWidth="1"/>
    <col min="47" max="47" width="10.44140625" style="2" customWidth="1"/>
    <col min="48" max="48" width="10.21875" style="2" customWidth="1"/>
    <col min="49" max="16384" width="9.109375" style="2"/>
  </cols>
  <sheetData>
    <row r="3" spans="1:50" x14ac:dyDescent="0.2">
      <c r="A3" s="1" t="s">
        <v>0</v>
      </c>
      <c r="B3" s="2"/>
      <c r="C3" s="36"/>
    </row>
    <row r="4" spans="1:50" x14ac:dyDescent="0.2">
      <c r="A4" s="1" t="s">
        <v>1</v>
      </c>
      <c r="B4" s="2"/>
    </row>
    <row r="6" spans="1:50" s="40" customFormat="1" ht="23.4" customHeight="1" x14ac:dyDescent="0.3">
      <c r="A6" s="37" t="s">
        <v>2</v>
      </c>
      <c r="B6" s="37" t="s">
        <v>3</v>
      </c>
      <c r="C6" s="37" t="s">
        <v>4</v>
      </c>
      <c r="D6" s="37" t="s">
        <v>5</v>
      </c>
      <c r="E6" s="37" t="s">
        <v>6</v>
      </c>
      <c r="F6" s="37" t="s">
        <v>7</v>
      </c>
      <c r="G6" s="37" t="s">
        <v>8</v>
      </c>
      <c r="H6" s="37" t="s">
        <v>9</v>
      </c>
      <c r="I6" s="37" t="s">
        <v>10</v>
      </c>
      <c r="J6" s="37" t="s">
        <v>11</v>
      </c>
      <c r="K6" s="37" t="s">
        <v>12</v>
      </c>
      <c r="L6" s="37" t="s">
        <v>13</v>
      </c>
      <c r="M6" s="37" t="s">
        <v>14</v>
      </c>
      <c r="N6" s="37" t="s">
        <v>15</v>
      </c>
      <c r="O6" s="37" t="s">
        <v>16</v>
      </c>
      <c r="P6" s="37" t="s">
        <v>17</v>
      </c>
      <c r="Q6" s="37" t="s">
        <v>18</v>
      </c>
      <c r="R6" s="37" t="s">
        <v>19</v>
      </c>
      <c r="S6" s="37" t="s">
        <v>20</v>
      </c>
      <c r="T6" s="37" t="s">
        <v>21</v>
      </c>
      <c r="U6" s="37" t="s">
        <v>22</v>
      </c>
      <c r="V6" s="37" t="s">
        <v>23</v>
      </c>
      <c r="W6" s="37" t="s">
        <v>24</v>
      </c>
      <c r="X6" s="37" t="s">
        <v>25</v>
      </c>
      <c r="Y6" s="38" t="s">
        <v>26</v>
      </c>
      <c r="Z6" s="38" t="s">
        <v>27</v>
      </c>
      <c r="AA6" s="37" t="s">
        <v>28</v>
      </c>
      <c r="AB6" s="37" t="s">
        <v>29</v>
      </c>
      <c r="AC6" s="37" t="s">
        <v>30</v>
      </c>
      <c r="AD6" s="39" t="s">
        <v>31</v>
      </c>
      <c r="AE6" s="37" t="s">
        <v>32</v>
      </c>
      <c r="AF6" s="37" t="s">
        <v>33</v>
      </c>
      <c r="AG6" s="37" t="s">
        <v>34</v>
      </c>
      <c r="AH6" s="37" t="s">
        <v>35</v>
      </c>
      <c r="AI6" s="37" t="s">
        <v>36</v>
      </c>
      <c r="AJ6" s="37" t="s">
        <v>37</v>
      </c>
      <c r="AK6" s="37" t="s">
        <v>38</v>
      </c>
      <c r="AL6" s="37" t="s">
        <v>39</v>
      </c>
      <c r="AM6" s="39" t="s">
        <v>40</v>
      </c>
      <c r="AN6" s="37" t="s">
        <v>41</v>
      </c>
      <c r="AO6" s="37" t="s">
        <v>42</v>
      </c>
      <c r="AP6" s="37" t="s">
        <v>43</v>
      </c>
      <c r="AQ6" s="37" t="s">
        <v>44</v>
      </c>
      <c r="AR6" s="37" t="s">
        <v>45</v>
      </c>
      <c r="AS6" s="37" t="s">
        <v>46</v>
      </c>
      <c r="AT6" s="37" t="s">
        <v>47</v>
      </c>
      <c r="AU6" s="39" t="s">
        <v>48</v>
      </c>
      <c r="AV6" s="39" t="s">
        <v>49</v>
      </c>
    </row>
    <row r="7" spans="1:50" x14ac:dyDescent="0.2">
      <c r="A7" s="41" t="s">
        <v>50</v>
      </c>
      <c r="B7" s="41" t="s">
        <v>51</v>
      </c>
      <c r="C7" s="3" t="s">
        <v>52</v>
      </c>
      <c r="D7" s="3" t="s">
        <v>53</v>
      </c>
      <c r="E7" s="3" t="s">
        <v>54</v>
      </c>
      <c r="F7" s="41" t="s">
        <v>55</v>
      </c>
      <c r="G7" s="41" t="s">
        <v>50</v>
      </c>
      <c r="H7" s="41" t="s">
        <v>56</v>
      </c>
      <c r="I7" s="42">
        <v>31186</v>
      </c>
      <c r="J7" s="3" t="s">
        <v>57</v>
      </c>
      <c r="K7" s="41" t="s">
        <v>58</v>
      </c>
      <c r="L7" s="3" t="s">
        <v>59</v>
      </c>
      <c r="M7" s="41" t="s">
        <v>60</v>
      </c>
      <c r="N7" s="3" t="s">
        <v>61</v>
      </c>
      <c r="O7" s="3" t="s">
        <v>62</v>
      </c>
      <c r="P7" s="41" t="s">
        <v>63</v>
      </c>
      <c r="Q7" s="41" t="s">
        <v>64</v>
      </c>
      <c r="R7" s="3" t="s">
        <v>65</v>
      </c>
      <c r="S7" s="3"/>
      <c r="T7" s="42">
        <v>45969</v>
      </c>
      <c r="U7" s="3"/>
      <c r="V7" s="3"/>
      <c r="W7" s="45">
        <v>23</v>
      </c>
      <c r="X7" s="4"/>
      <c r="Y7" s="5">
        <v>6750</v>
      </c>
      <c r="Z7" s="5">
        <v>113</v>
      </c>
      <c r="AA7" s="4">
        <v>5175</v>
      </c>
      <c r="AB7" s="4">
        <v>113</v>
      </c>
      <c r="AC7" s="4"/>
      <c r="AD7" s="6">
        <v>5288</v>
      </c>
      <c r="AE7" s="4">
        <v>2104.65</v>
      </c>
      <c r="AF7" s="4">
        <v>687.44</v>
      </c>
      <c r="AG7" s="3"/>
      <c r="AH7" s="3"/>
      <c r="AI7" s="3"/>
      <c r="AJ7" s="3"/>
      <c r="AK7" s="3"/>
      <c r="AL7" s="4">
        <v>26.44</v>
      </c>
      <c r="AM7" s="6">
        <v>2818.53</v>
      </c>
      <c r="AN7" s="4">
        <v>337.84</v>
      </c>
      <c r="AO7" s="4">
        <v>112.61</v>
      </c>
      <c r="AP7" s="4">
        <v>37.020000000000003</v>
      </c>
      <c r="AQ7" s="4">
        <v>26.44</v>
      </c>
      <c r="AR7" s="4">
        <v>39.659999999999997</v>
      </c>
      <c r="AS7" s="4">
        <v>8.99</v>
      </c>
      <c r="AT7" s="3"/>
      <c r="AU7" s="6">
        <v>562.55999999999995</v>
      </c>
      <c r="AV7" s="6">
        <v>2469.4699999999998</v>
      </c>
      <c r="AX7" s="2">
        <f>VLOOKUP(A7,[1]Planilla!$A$7:$AT$31,46,0)</f>
        <v>2469.4699999999998</v>
      </c>
    </row>
    <row r="8" spans="1:50" x14ac:dyDescent="0.2">
      <c r="A8" s="41" t="s">
        <v>66</v>
      </c>
      <c r="B8" s="41" t="s">
        <v>67</v>
      </c>
      <c r="C8" s="3" t="s">
        <v>68</v>
      </c>
      <c r="D8" s="3" t="s">
        <v>69</v>
      </c>
      <c r="E8" s="3" t="s">
        <v>70</v>
      </c>
      <c r="F8" s="41" t="s">
        <v>55</v>
      </c>
      <c r="G8" s="41" t="s">
        <v>66</v>
      </c>
      <c r="H8" s="41" t="s">
        <v>56</v>
      </c>
      <c r="I8" s="42">
        <v>30469</v>
      </c>
      <c r="J8" s="3" t="s">
        <v>57</v>
      </c>
      <c r="K8" s="41" t="s">
        <v>58</v>
      </c>
      <c r="L8" s="3" t="s">
        <v>59</v>
      </c>
      <c r="M8" s="41" t="s">
        <v>60</v>
      </c>
      <c r="N8" s="3" t="s">
        <v>61</v>
      </c>
      <c r="O8" s="3" t="s">
        <v>71</v>
      </c>
      <c r="P8" s="41" t="s">
        <v>72</v>
      </c>
      <c r="Q8" s="41" t="s">
        <v>73</v>
      </c>
      <c r="R8" s="3" t="s">
        <v>74</v>
      </c>
      <c r="S8" s="3" t="s">
        <v>75</v>
      </c>
      <c r="T8" s="42">
        <v>45964</v>
      </c>
      <c r="U8" s="3"/>
      <c r="V8" s="3"/>
      <c r="W8" s="45">
        <v>28</v>
      </c>
      <c r="X8" s="4"/>
      <c r="Y8" s="5">
        <v>6750</v>
      </c>
      <c r="Z8" s="5">
        <v>113</v>
      </c>
      <c r="AA8" s="4">
        <v>6300</v>
      </c>
      <c r="AB8" s="4">
        <v>113</v>
      </c>
      <c r="AC8" s="4"/>
      <c r="AD8" s="6">
        <v>6413</v>
      </c>
      <c r="AE8" s="4">
        <v>2562.19</v>
      </c>
      <c r="AF8" s="3"/>
      <c r="AG8" s="3"/>
      <c r="AH8" s="4">
        <v>641.29999999999995</v>
      </c>
      <c r="AI8" s="3"/>
      <c r="AJ8" s="4">
        <v>87.86</v>
      </c>
      <c r="AK8" s="4">
        <v>128.26</v>
      </c>
      <c r="AL8" s="4">
        <v>32.07</v>
      </c>
      <c r="AM8" s="6">
        <v>3451.68</v>
      </c>
      <c r="AN8" s="4">
        <v>432.88</v>
      </c>
      <c r="AO8" s="4">
        <v>144.29</v>
      </c>
      <c r="AP8" s="4">
        <v>44.89</v>
      </c>
      <c r="AQ8" s="4">
        <v>32.07</v>
      </c>
      <c r="AR8" s="4">
        <v>48.1</v>
      </c>
      <c r="AS8" s="4">
        <v>10.9</v>
      </c>
      <c r="AT8" s="4">
        <v>128.26</v>
      </c>
      <c r="AU8" s="6">
        <v>841.39</v>
      </c>
      <c r="AV8" s="6">
        <v>2961.32</v>
      </c>
      <c r="AX8" s="2">
        <f>VLOOKUP(A8,[1]Planilla!$A$7:$AT$31,46,0)</f>
        <v>2961.32</v>
      </c>
    </row>
    <row r="9" spans="1:50" x14ac:dyDescent="0.2">
      <c r="A9" s="41" t="s">
        <v>76</v>
      </c>
      <c r="B9" s="41" t="s">
        <v>77</v>
      </c>
      <c r="C9" s="3" t="s">
        <v>78</v>
      </c>
      <c r="D9" s="3" t="s">
        <v>79</v>
      </c>
      <c r="E9" s="3" t="s">
        <v>80</v>
      </c>
      <c r="F9" s="41" t="s">
        <v>55</v>
      </c>
      <c r="G9" s="41" t="s">
        <v>76</v>
      </c>
      <c r="H9" s="41" t="s">
        <v>56</v>
      </c>
      <c r="I9" s="42">
        <v>30787</v>
      </c>
      <c r="J9" s="3" t="s">
        <v>81</v>
      </c>
      <c r="K9" s="41" t="s">
        <v>58</v>
      </c>
      <c r="L9" s="3" t="s">
        <v>59</v>
      </c>
      <c r="M9" s="41" t="s">
        <v>60</v>
      </c>
      <c r="N9" s="3" t="s">
        <v>61</v>
      </c>
      <c r="O9" s="3" t="s">
        <v>82</v>
      </c>
      <c r="P9" s="41" t="s">
        <v>72</v>
      </c>
      <c r="Q9" s="41" t="s">
        <v>83</v>
      </c>
      <c r="R9" s="3" t="s">
        <v>74</v>
      </c>
      <c r="S9" s="3" t="s">
        <v>84</v>
      </c>
      <c r="T9" s="42">
        <v>45957</v>
      </c>
      <c r="U9" s="3"/>
      <c r="V9" s="3"/>
      <c r="W9" s="45">
        <v>30</v>
      </c>
      <c r="X9" s="4"/>
      <c r="Y9" s="5">
        <v>3400</v>
      </c>
      <c r="Z9" s="5">
        <v>113</v>
      </c>
      <c r="AA9" s="4">
        <v>3400</v>
      </c>
      <c r="AB9" s="4">
        <v>113</v>
      </c>
      <c r="AC9" s="4"/>
      <c r="AD9" s="6">
        <v>3513</v>
      </c>
      <c r="AE9" s="4">
        <v>1405.2</v>
      </c>
      <c r="AF9" s="3"/>
      <c r="AG9" s="4">
        <v>314.37</v>
      </c>
      <c r="AH9" s="4">
        <v>351.3</v>
      </c>
      <c r="AI9" s="3"/>
      <c r="AJ9" s="4">
        <v>48.13</v>
      </c>
      <c r="AK9" s="4">
        <v>70.260000000000005</v>
      </c>
      <c r="AL9" s="4">
        <v>17.57</v>
      </c>
      <c r="AM9" s="6">
        <v>2206.83</v>
      </c>
      <c r="AN9" s="4">
        <v>316.17</v>
      </c>
      <c r="AO9" s="3"/>
      <c r="AP9" s="4">
        <v>24.59</v>
      </c>
      <c r="AQ9" s="4">
        <v>17.57</v>
      </c>
      <c r="AR9" s="4">
        <v>26.35</v>
      </c>
      <c r="AS9" s="4">
        <v>5.97</v>
      </c>
      <c r="AT9" s="4">
        <v>70.260000000000005</v>
      </c>
      <c r="AU9" s="6">
        <v>460.91</v>
      </c>
      <c r="AV9" s="6">
        <v>1306.17</v>
      </c>
      <c r="AX9" s="2">
        <f>VLOOKUP(A9,[1]Planilla!$A$7:$AT$31,46,0)</f>
        <v>1306.17</v>
      </c>
    </row>
    <row r="10" spans="1:50" x14ac:dyDescent="0.2">
      <c r="A10" s="41" t="s">
        <v>85</v>
      </c>
      <c r="B10" s="41" t="s">
        <v>86</v>
      </c>
      <c r="C10" s="3" t="s">
        <v>87</v>
      </c>
      <c r="D10" s="3" t="s">
        <v>88</v>
      </c>
      <c r="E10" s="3" t="s">
        <v>89</v>
      </c>
      <c r="F10" s="41" t="s">
        <v>55</v>
      </c>
      <c r="G10" s="41" t="s">
        <v>85</v>
      </c>
      <c r="H10" s="41" t="s">
        <v>56</v>
      </c>
      <c r="I10" s="42">
        <v>32078</v>
      </c>
      <c r="J10" s="3" t="s">
        <v>90</v>
      </c>
      <c r="K10" s="41" t="s">
        <v>58</v>
      </c>
      <c r="L10" s="3" t="s">
        <v>59</v>
      </c>
      <c r="M10" s="41" t="s">
        <v>60</v>
      </c>
      <c r="N10" s="3" t="s">
        <v>61</v>
      </c>
      <c r="O10" s="3" t="s">
        <v>82</v>
      </c>
      <c r="P10" s="41" t="s">
        <v>72</v>
      </c>
      <c r="Q10" s="41" t="s">
        <v>91</v>
      </c>
      <c r="R10" s="3" t="s">
        <v>92</v>
      </c>
      <c r="S10" s="3" t="s">
        <v>93</v>
      </c>
      <c r="T10" s="42">
        <v>45974</v>
      </c>
      <c r="U10" s="3"/>
      <c r="V10" s="3"/>
      <c r="W10" s="45">
        <v>18</v>
      </c>
      <c r="X10" s="4"/>
      <c r="Y10" s="5">
        <v>6500</v>
      </c>
      <c r="Z10" s="7"/>
      <c r="AA10" s="4">
        <v>3900</v>
      </c>
      <c r="AB10" s="3"/>
      <c r="AC10" s="3"/>
      <c r="AD10" s="6">
        <v>3900</v>
      </c>
      <c r="AE10" s="3"/>
      <c r="AF10" s="3"/>
      <c r="AG10" s="3"/>
      <c r="AH10" s="4">
        <v>390</v>
      </c>
      <c r="AI10" s="3"/>
      <c r="AJ10" s="4">
        <v>53.43</v>
      </c>
      <c r="AK10" s="4">
        <v>78</v>
      </c>
      <c r="AL10" s="4">
        <v>19.5</v>
      </c>
      <c r="AM10" s="6">
        <v>540.92999999999995</v>
      </c>
      <c r="AN10" s="4">
        <v>263.25</v>
      </c>
      <c r="AO10" s="4">
        <v>87.75</v>
      </c>
      <c r="AP10" s="4">
        <v>27.3</v>
      </c>
      <c r="AQ10" s="4">
        <v>19.5</v>
      </c>
      <c r="AR10" s="4">
        <v>29.25</v>
      </c>
      <c r="AS10" s="4">
        <v>6.63</v>
      </c>
      <c r="AT10" s="4">
        <v>78</v>
      </c>
      <c r="AU10" s="6">
        <v>511.68</v>
      </c>
      <c r="AV10" s="6">
        <v>3359.07</v>
      </c>
      <c r="AX10" s="2">
        <f>VLOOKUP(A10,[1]Planilla!$A$7:$AT$31,46,0)</f>
        <v>3359.07</v>
      </c>
    </row>
    <row r="11" spans="1:50" x14ac:dyDescent="0.2">
      <c r="A11" s="41" t="s">
        <v>94</v>
      </c>
      <c r="B11" s="41" t="s">
        <v>95</v>
      </c>
      <c r="C11" s="3" t="s">
        <v>96</v>
      </c>
      <c r="D11" s="3" t="s">
        <v>97</v>
      </c>
      <c r="E11" s="3" t="s">
        <v>98</v>
      </c>
      <c r="F11" s="41" t="s">
        <v>55</v>
      </c>
      <c r="G11" s="41" t="s">
        <v>94</v>
      </c>
      <c r="H11" s="41" t="s">
        <v>56</v>
      </c>
      <c r="I11" s="42">
        <v>34171</v>
      </c>
      <c r="J11" s="3" t="s">
        <v>99</v>
      </c>
      <c r="K11" s="41" t="s">
        <v>58</v>
      </c>
      <c r="L11" s="3" t="s">
        <v>59</v>
      </c>
      <c r="M11" s="41" t="s">
        <v>60</v>
      </c>
      <c r="N11" s="3" t="s">
        <v>61</v>
      </c>
      <c r="O11" s="3" t="s">
        <v>82</v>
      </c>
      <c r="P11" s="41" t="s">
        <v>72</v>
      </c>
      <c r="Q11" s="41" t="s">
        <v>100</v>
      </c>
      <c r="R11" s="3" t="s">
        <v>92</v>
      </c>
      <c r="S11" s="3" t="s">
        <v>101</v>
      </c>
      <c r="T11" s="42">
        <v>45957</v>
      </c>
      <c r="U11" s="3"/>
      <c r="V11" s="3"/>
      <c r="W11" s="45">
        <v>30</v>
      </c>
      <c r="X11" s="4"/>
      <c r="Y11" s="5">
        <v>3450</v>
      </c>
      <c r="Z11" s="7"/>
      <c r="AA11" s="4">
        <v>3450</v>
      </c>
      <c r="AB11" s="3"/>
      <c r="AC11" s="3"/>
      <c r="AD11" s="6">
        <v>3450</v>
      </c>
      <c r="AE11" s="4">
        <v>1380</v>
      </c>
      <c r="AF11" s="3"/>
      <c r="AG11" s="4">
        <v>173.94</v>
      </c>
      <c r="AH11" s="4">
        <v>345</v>
      </c>
      <c r="AI11" s="3"/>
      <c r="AJ11" s="4">
        <v>47.27</v>
      </c>
      <c r="AK11" s="4">
        <v>69</v>
      </c>
      <c r="AL11" s="4">
        <v>17.25</v>
      </c>
      <c r="AM11" s="6">
        <v>2032.46</v>
      </c>
      <c r="AN11" s="4">
        <v>310.5</v>
      </c>
      <c r="AO11" s="3"/>
      <c r="AP11" s="4">
        <v>24.15</v>
      </c>
      <c r="AQ11" s="4">
        <v>17.25</v>
      </c>
      <c r="AR11" s="4">
        <v>25.88</v>
      </c>
      <c r="AS11" s="4">
        <v>3.8</v>
      </c>
      <c r="AT11" s="4">
        <v>69</v>
      </c>
      <c r="AU11" s="6">
        <v>450.58</v>
      </c>
      <c r="AV11" s="6">
        <v>1417.54</v>
      </c>
      <c r="AX11" s="2">
        <f>VLOOKUP(A11,[1]Planilla!$A$7:$AT$31,46,0)</f>
        <v>1417.54</v>
      </c>
    </row>
    <row r="12" spans="1:50" x14ac:dyDescent="0.2">
      <c r="A12" s="41" t="s">
        <v>102</v>
      </c>
      <c r="B12" s="41" t="s">
        <v>103</v>
      </c>
      <c r="C12" s="3" t="s">
        <v>104</v>
      </c>
      <c r="D12" s="3" t="s">
        <v>105</v>
      </c>
      <c r="E12" s="3" t="s">
        <v>106</v>
      </c>
      <c r="F12" s="41" t="s">
        <v>55</v>
      </c>
      <c r="G12" s="41" t="s">
        <v>102</v>
      </c>
      <c r="H12" s="41" t="s">
        <v>56</v>
      </c>
      <c r="I12" s="42">
        <v>30182</v>
      </c>
      <c r="J12" s="3" t="s">
        <v>107</v>
      </c>
      <c r="K12" s="41" t="s">
        <v>58</v>
      </c>
      <c r="L12" s="3" t="s">
        <v>59</v>
      </c>
      <c r="M12" s="41" t="s">
        <v>60</v>
      </c>
      <c r="N12" s="3" t="s">
        <v>61</v>
      </c>
      <c r="O12" s="3" t="s">
        <v>62</v>
      </c>
      <c r="P12" s="41" t="s">
        <v>63</v>
      </c>
      <c r="Q12" s="41" t="s">
        <v>108</v>
      </c>
      <c r="R12" s="3" t="s">
        <v>74</v>
      </c>
      <c r="S12" s="3" t="s">
        <v>109</v>
      </c>
      <c r="T12" s="42">
        <v>45957</v>
      </c>
      <c r="U12" s="3"/>
      <c r="V12" s="3"/>
      <c r="W12" s="45">
        <v>30</v>
      </c>
      <c r="X12" s="4"/>
      <c r="Y12" s="5">
        <v>3450</v>
      </c>
      <c r="Z12" s="5">
        <v>113</v>
      </c>
      <c r="AA12" s="4">
        <v>3450</v>
      </c>
      <c r="AB12" s="4">
        <v>113</v>
      </c>
      <c r="AC12" s="4"/>
      <c r="AD12" s="6">
        <v>3563</v>
      </c>
      <c r="AE12" s="4">
        <v>1425.2</v>
      </c>
      <c r="AF12" s="3"/>
      <c r="AG12" s="3"/>
      <c r="AH12" s="4">
        <v>356.3</v>
      </c>
      <c r="AI12" s="3"/>
      <c r="AJ12" s="4">
        <v>48.81</v>
      </c>
      <c r="AK12" s="4">
        <v>71.260000000000005</v>
      </c>
      <c r="AL12" s="4">
        <v>17.82</v>
      </c>
      <c r="AM12" s="6">
        <v>1919.39</v>
      </c>
      <c r="AN12" s="4">
        <v>320.67</v>
      </c>
      <c r="AO12" s="3"/>
      <c r="AP12" s="4">
        <v>24.94</v>
      </c>
      <c r="AQ12" s="4">
        <v>17.82</v>
      </c>
      <c r="AR12" s="4">
        <v>26.72</v>
      </c>
      <c r="AS12" s="4">
        <v>6.06</v>
      </c>
      <c r="AT12" s="4">
        <v>71.260000000000005</v>
      </c>
      <c r="AU12" s="6">
        <v>467.47</v>
      </c>
      <c r="AV12" s="6">
        <v>1643.61</v>
      </c>
      <c r="AX12" s="2">
        <f>VLOOKUP(A12,[1]Planilla!$A$7:$AT$31,46,0)</f>
        <v>1643.61</v>
      </c>
    </row>
    <row r="13" spans="1:50" x14ac:dyDescent="0.2">
      <c r="A13" s="41" t="s">
        <v>110</v>
      </c>
      <c r="B13" s="41" t="s">
        <v>111</v>
      </c>
      <c r="C13" s="3" t="s">
        <v>112</v>
      </c>
      <c r="D13" s="3" t="s">
        <v>113</v>
      </c>
      <c r="E13" s="3" t="s">
        <v>114</v>
      </c>
      <c r="F13" s="41" t="s">
        <v>55</v>
      </c>
      <c r="G13" s="41" t="s">
        <v>110</v>
      </c>
      <c r="H13" s="41" t="s">
        <v>56</v>
      </c>
      <c r="I13" s="42">
        <v>26238</v>
      </c>
      <c r="J13" s="3" t="s">
        <v>115</v>
      </c>
      <c r="K13" s="41" t="s">
        <v>58</v>
      </c>
      <c r="L13" s="3" t="s">
        <v>59</v>
      </c>
      <c r="M13" s="41" t="s">
        <v>60</v>
      </c>
      <c r="N13" s="3" t="s">
        <v>61</v>
      </c>
      <c r="O13" s="3" t="s">
        <v>116</v>
      </c>
      <c r="P13" s="41" t="s">
        <v>72</v>
      </c>
      <c r="Q13" s="41" t="s">
        <v>117</v>
      </c>
      <c r="R13" s="3" t="s">
        <v>118</v>
      </c>
      <c r="S13" s="3" t="s">
        <v>119</v>
      </c>
      <c r="T13" s="42">
        <v>45969</v>
      </c>
      <c r="U13" s="3"/>
      <c r="V13" s="3"/>
      <c r="W13" s="45">
        <v>23</v>
      </c>
      <c r="X13" s="4"/>
      <c r="Y13" s="5">
        <v>20000</v>
      </c>
      <c r="Z13" s="5">
        <v>113</v>
      </c>
      <c r="AA13" s="4">
        <v>15333.33</v>
      </c>
      <c r="AB13" s="4">
        <v>113</v>
      </c>
      <c r="AC13" s="4"/>
      <c r="AD13" s="6">
        <v>15446.33</v>
      </c>
      <c r="AE13" s="3"/>
      <c r="AF13" s="3"/>
      <c r="AG13" s="4">
        <v>88.63</v>
      </c>
      <c r="AH13" s="4">
        <v>1544.63</v>
      </c>
      <c r="AI13" s="4">
        <v>227.06</v>
      </c>
      <c r="AJ13" s="4">
        <v>166.85</v>
      </c>
      <c r="AK13" s="4">
        <v>308.93</v>
      </c>
      <c r="AL13" s="4">
        <v>77.23</v>
      </c>
      <c r="AM13" s="6">
        <v>2413.33</v>
      </c>
      <c r="AN13" s="4">
        <v>1042.6300000000001</v>
      </c>
      <c r="AO13" s="4">
        <v>347.54</v>
      </c>
      <c r="AP13" s="4">
        <v>85.25</v>
      </c>
      <c r="AQ13" s="4">
        <v>77.23</v>
      </c>
      <c r="AR13" s="4">
        <v>115.85</v>
      </c>
      <c r="AS13" s="4">
        <v>26.26</v>
      </c>
      <c r="AT13" s="4">
        <v>308.93</v>
      </c>
      <c r="AU13" s="6">
        <v>2003.69</v>
      </c>
      <c r="AV13" s="6">
        <v>13033</v>
      </c>
      <c r="AX13" s="2">
        <f>VLOOKUP(A13,[1]Planilla!$A$7:$AT$31,46,0)</f>
        <v>13033</v>
      </c>
    </row>
    <row r="14" spans="1:50" x14ac:dyDescent="0.2">
      <c r="A14" s="41" t="s">
        <v>120</v>
      </c>
      <c r="B14" s="41" t="s">
        <v>121</v>
      </c>
      <c r="C14" s="3" t="s">
        <v>122</v>
      </c>
      <c r="D14" s="3" t="s">
        <v>123</v>
      </c>
      <c r="E14" s="3" t="s">
        <v>124</v>
      </c>
      <c r="F14" s="41" t="s">
        <v>55</v>
      </c>
      <c r="G14" s="41" t="s">
        <v>120</v>
      </c>
      <c r="H14" s="41" t="s">
        <v>56</v>
      </c>
      <c r="I14" s="42">
        <v>34162</v>
      </c>
      <c r="J14" s="3" t="s">
        <v>107</v>
      </c>
      <c r="K14" s="41" t="s">
        <v>58</v>
      </c>
      <c r="L14" s="3" t="s">
        <v>59</v>
      </c>
      <c r="M14" s="41" t="s">
        <v>60</v>
      </c>
      <c r="N14" s="3" t="s">
        <v>61</v>
      </c>
      <c r="O14" s="3" t="s">
        <v>82</v>
      </c>
      <c r="P14" s="41" t="s">
        <v>72</v>
      </c>
      <c r="Q14" s="41" t="s">
        <v>125</v>
      </c>
      <c r="R14" s="3" t="s">
        <v>92</v>
      </c>
      <c r="S14" s="3" t="s">
        <v>126</v>
      </c>
      <c r="T14" s="42">
        <v>45957</v>
      </c>
      <c r="U14" s="3"/>
      <c r="V14" s="3"/>
      <c r="W14" s="45">
        <v>30</v>
      </c>
      <c r="X14" s="4"/>
      <c r="Y14" s="5">
        <v>3450</v>
      </c>
      <c r="Z14" s="5">
        <v>113</v>
      </c>
      <c r="AA14" s="4">
        <v>3450</v>
      </c>
      <c r="AB14" s="4">
        <v>113</v>
      </c>
      <c r="AC14" s="4"/>
      <c r="AD14" s="6">
        <v>3563</v>
      </c>
      <c r="AE14" s="4">
        <v>1425.2</v>
      </c>
      <c r="AF14" s="3"/>
      <c r="AG14" s="4">
        <v>396.39</v>
      </c>
      <c r="AH14" s="4">
        <v>356.3</v>
      </c>
      <c r="AI14" s="3"/>
      <c r="AJ14" s="4">
        <v>48.81</v>
      </c>
      <c r="AK14" s="4">
        <v>71.260000000000005</v>
      </c>
      <c r="AL14" s="4">
        <v>17.82</v>
      </c>
      <c r="AM14" s="6">
        <v>2315.7800000000002</v>
      </c>
      <c r="AN14" s="4">
        <v>320.67</v>
      </c>
      <c r="AO14" s="3"/>
      <c r="AP14" s="4">
        <v>24.94</v>
      </c>
      <c r="AQ14" s="4">
        <v>17.82</v>
      </c>
      <c r="AR14" s="4">
        <v>26.72</v>
      </c>
      <c r="AS14" s="4">
        <v>3.92</v>
      </c>
      <c r="AT14" s="4">
        <v>71.260000000000005</v>
      </c>
      <c r="AU14" s="6">
        <v>465.33</v>
      </c>
      <c r="AV14" s="6">
        <v>1247.22</v>
      </c>
      <c r="AX14" s="2">
        <f>VLOOKUP(A14,[1]Planilla!$A$7:$AT$31,46,0)</f>
        <v>1247.22</v>
      </c>
    </row>
    <row r="15" spans="1:50" x14ac:dyDescent="0.2">
      <c r="A15" s="41" t="s">
        <v>127</v>
      </c>
      <c r="B15" s="41" t="s">
        <v>128</v>
      </c>
      <c r="C15" s="3" t="s">
        <v>122</v>
      </c>
      <c r="D15" s="3" t="s">
        <v>122</v>
      </c>
      <c r="E15" s="3" t="s">
        <v>129</v>
      </c>
      <c r="F15" s="41" t="s">
        <v>55</v>
      </c>
      <c r="G15" s="41" t="s">
        <v>127</v>
      </c>
      <c r="H15" s="41" t="s">
        <v>56</v>
      </c>
      <c r="I15" s="42">
        <v>29347</v>
      </c>
      <c r="J15" s="3" t="s">
        <v>130</v>
      </c>
      <c r="K15" s="41" t="s">
        <v>58</v>
      </c>
      <c r="L15" s="3" t="s">
        <v>59</v>
      </c>
      <c r="M15" s="41" t="s">
        <v>60</v>
      </c>
      <c r="N15" s="3" t="s">
        <v>61</v>
      </c>
      <c r="O15" s="3" t="s">
        <v>82</v>
      </c>
      <c r="P15" s="41" t="s">
        <v>72</v>
      </c>
      <c r="Q15" s="41" t="s">
        <v>131</v>
      </c>
      <c r="R15" s="3" t="s">
        <v>65</v>
      </c>
      <c r="S15" s="3"/>
      <c r="T15" s="42">
        <v>45957</v>
      </c>
      <c r="U15" s="3"/>
      <c r="V15" s="3"/>
      <c r="W15" s="45">
        <v>30</v>
      </c>
      <c r="X15" s="4"/>
      <c r="Y15" s="5">
        <v>3500</v>
      </c>
      <c r="Z15" s="5">
        <v>113</v>
      </c>
      <c r="AA15" s="4">
        <v>3500</v>
      </c>
      <c r="AB15" s="4">
        <v>113</v>
      </c>
      <c r="AC15" s="4"/>
      <c r="AD15" s="6">
        <v>3613</v>
      </c>
      <c r="AE15" s="4">
        <v>1445.2</v>
      </c>
      <c r="AF15" s="4">
        <v>469.69</v>
      </c>
      <c r="AG15" s="3"/>
      <c r="AH15" s="3"/>
      <c r="AI15" s="3"/>
      <c r="AJ15" s="3"/>
      <c r="AK15" s="3"/>
      <c r="AL15" s="4">
        <v>18.07</v>
      </c>
      <c r="AM15" s="6">
        <v>1932.96</v>
      </c>
      <c r="AN15" s="4">
        <v>325.17</v>
      </c>
      <c r="AO15" s="3"/>
      <c r="AP15" s="4">
        <v>25.29</v>
      </c>
      <c r="AQ15" s="4">
        <v>18.07</v>
      </c>
      <c r="AR15" s="4">
        <v>27.1</v>
      </c>
      <c r="AS15" s="4">
        <v>6.14</v>
      </c>
      <c r="AT15" s="3"/>
      <c r="AU15" s="6">
        <v>401.77</v>
      </c>
      <c r="AV15" s="6">
        <v>1680.04</v>
      </c>
      <c r="AX15" s="2">
        <f>VLOOKUP(A15,[1]Planilla!$A$7:$AT$31,46,0)</f>
        <v>1680.04</v>
      </c>
    </row>
    <row r="16" spans="1:50" x14ac:dyDescent="0.2">
      <c r="A16" s="41" t="s">
        <v>132</v>
      </c>
      <c r="B16" s="41"/>
      <c r="C16" s="47" t="s">
        <v>133</v>
      </c>
      <c r="D16" s="3" t="s">
        <v>134</v>
      </c>
      <c r="E16" s="3" t="s">
        <v>135</v>
      </c>
      <c r="F16" s="41" t="s">
        <v>55</v>
      </c>
      <c r="G16" s="41" t="s">
        <v>132</v>
      </c>
      <c r="H16" s="41" t="s">
        <v>56</v>
      </c>
      <c r="I16" s="42">
        <v>29704</v>
      </c>
      <c r="J16" s="3" t="s">
        <v>136</v>
      </c>
      <c r="K16" s="41" t="s">
        <v>58</v>
      </c>
      <c r="L16" s="3" t="s">
        <v>59</v>
      </c>
      <c r="M16" s="41" t="s">
        <v>60</v>
      </c>
      <c r="N16" s="3" t="s">
        <v>61</v>
      </c>
      <c r="O16" s="3" t="s">
        <v>82</v>
      </c>
      <c r="P16" s="41" t="s">
        <v>72</v>
      </c>
      <c r="Q16" s="41" t="s">
        <v>137</v>
      </c>
      <c r="R16" s="3" t="s">
        <v>92</v>
      </c>
      <c r="S16" s="3" t="s">
        <v>138</v>
      </c>
      <c r="T16" s="42">
        <v>45988</v>
      </c>
      <c r="U16" s="3"/>
      <c r="V16" s="3"/>
      <c r="W16" s="45">
        <v>4</v>
      </c>
      <c r="X16" s="3"/>
      <c r="Y16" s="5">
        <v>6500</v>
      </c>
      <c r="Z16" s="5">
        <v>113</v>
      </c>
      <c r="AA16" s="4">
        <v>866.67</v>
      </c>
      <c r="AB16" s="4">
        <v>113</v>
      </c>
      <c r="AC16" s="3"/>
      <c r="AD16" s="6">
        <v>979.67</v>
      </c>
      <c r="AE16" s="3"/>
      <c r="AF16" s="3"/>
      <c r="AG16" s="4">
        <v>469.74</v>
      </c>
      <c r="AH16" s="4">
        <v>97.97</v>
      </c>
      <c r="AI16" s="3"/>
      <c r="AJ16" s="4">
        <v>13.42</v>
      </c>
      <c r="AK16" s="4">
        <v>19.59</v>
      </c>
      <c r="AL16" s="4">
        <v>4.9000000000000004</v>
      </c>
      <c r="AM16" s="6">
        <v>605.62</v>
      </c>
      <c r="AN16" s="4">
        <v>76.28</v>
      </c>
      <c r="AO16" s="4">
        <v>25.43</v>
      </c>
      <c r="AP16" s="4">
        <v>6.86</v>
      </c>
      <c r="AQ16" s="4">
        <v>4.9000000000000004</v>
      </c>
      <c r="AR16" s="4">
        <v>7.35</v>
      </c>
      <c r="AS16" s="4">
        <v>1.67</v>
      </c>
      <c r="AT16" s="4">
        <v>19.59</v>
      </c>
      <c r="AU16" s="6">
        <v>142.08000000000001</v>
      </c>
      <c r="AV16" s="6">
        <v>374.05</v>
      </c>
      <c r="AX16" s="2" t="e">
        <f>VLOOKUP(A16,[1]Planilla!$A$7:$AT$31,46,0)</f>
        <v>#N/A</v>
      </c>
    </row>
    <row r="17" spans="1:50" x14ac:dyDescent="0.2">
      <c r="A17" s="41" t="s">
        <v>139</v>
      </c>
      <c r="B17" s="41" t="s">
        <v>140</v>
      </c>
      <c r="C17" s="3" t="s">
        <v>141</v>
      </c>
      <c r="D17" s="3" t="s">
        <v>142</v>
      </c>
      <c r="E17" s="3" t="s">
        <v>143</v>
      </c>
      <c r="F17" s="41" t="s">
        <v>55</v>
      </c>
      <c r="G17" s="41" t="s">
        <v>139</v>
      </c>
      <c r="H17" s="41" t="s">
        <v>56</v>
      </c>
      <c r="I17" s="42">
        <v>32518</v>
      </c>
      <c r="J17" s="3" t="s">
        <v>144</v>
      </c>
      <c r="K17" s="41" t="s">
        <v>58</v>
      </c>
      <c r="L17" s="3" t="s">
        <v>59</v>
      </c>
      <c r="M17" s="41" t="s">
        <v>60</v>
      </c>
      <c r="N17" s="3" t="s">
        <v>61</v>
      </c>
      <c r="O17" s="3" t="s">
        <v>62</v>
      </c>
      <c r="P17" s="41" t="s">
        <v>63</v>
      </c>
      <c r="Q17" s="41" t="s">
        <v>145</v>
      </c>
      <c r="R17" s="3" t="s">
        <v>65</v>
      </c>
      <c r="S17" s="3"/>
      <c r="T17" s="42">
        <v>45974</v>
      </c>
      <c r="U17" s="3"/>
      <c r="V17" s="3"/>
      <c r="W17" s="45">
        <v>18</v>
      </c>
      <c r="X17" s="4"/>
      <c r="Y17" s="5">
        <v>3500</v>
      </c>
      <c r="Z17" s="5">
        <v>113</v>
      </c>
      <c r="AA17" s="4">
        <v>2100</v>
      </c>
      <c r="AB17" s="4">
        <v>113</v>
      </c>
      <c r="AC17" s="4"/>
      <c r="AD17" s="6">
        <v>2213</v>
      </c>
      <c r="AE17" s="3"/>
      <c r="AF17" s="4">
        <v>287.69</v>
      </c>
      <c r="AG17" s="3"/>
      <c r="AH17" s="3"/>
      <c r="AI17" s="3"/>
      <c r="AJ17" s="3"/>
      <c r="AK17" s="3"/>
      <c r="AL17" s="4">
        <v>11.07</v>
      </c>
      <c r="AM17" s="6">
        <v>298.76</v>
      </c>
      <c r="AN17" s="4">
        <v>199.17</v>
      </c>
      <c r="AO17" s="3"/>
      <c r="AP17" s="4">
        <v>15.49</v>
      </c>
      <c r="AQ17" s="4">
        <v>11.07</v>
      </c>
      <c r="AR17" s="4">
        <v>16.600000000000001</v>
      </c>
      <c r="AS17" s="4">
        <v>2.4300000000000002</v>
      </c>
      <c r="AT17" s="3"/>
      <c r="AU17" s="6">
        <v>244.76</v>
      </c>
      <c r="AV17" s="6">
        <v>1914.24</v>
      </c>
      <c r="AX17" s="2">
        <f>VLOOKUP(A17,[1]Planilla!$A$7:$AT$31,46,0)</f>
        <v>1914.24</v>
      </c>
    </row>
    <row r="18" spans="1:50" x14ac:dyDescent="0.2">
      <c r="A18" s="41" t="s">
        <v>146</v>
      </c>
      <c r="B18" s="41" t="s">
        <v>147</v>
      </c>
      <c r="C18" s="3" t="s">
        <v>148</v>
      </c>
      <c r="D18" s="3" t="s">
        <v>149</v>
      </c>
      <c r="E18" s="3" t="s">
        <v>150</v>
      </c>
      <c r="F18" s="41" t="s">
        <v>55</v>
      </c>
      <c r="G18" s="41" t="s">
        <v>146</v>
      </c>
      <c r="H18" s="41" t="s">
        <v>151</v>
      </c>
      <c r="I18" s="42">
        <v>34371</v>
      </c>
      <c r="J18" s="3" t="s">
        <v>144</v>
      </c>
      <c r="K18" s="41" t="s">
        <v>58</v>
      </c>
      <c r="L18" s="3" t="s">
        <v>59</v>
      </c>
      <c r="M18" s="41" t="s">
        <v>60</v>
      </c>
      <c r="N18" s="3" t="s">
        <v>61</v>
      </c>
      <c r="O18" s="3" t="s">
        <v>82</v>
      </c>
      <c r="P18" s="41" t="s">
        <v>72</v>
      </c>
      <c r="Q18" s="41" t="s">
        <v>152</v>
      </c>
      <c r="R18" s="3" t="s">
        <v>92</v>
      </c>
      <c r="S18" s="3" t="s">
        <v>153</v>
      </c>
      <c r="T18" s="42">
        <v>45957</v>
      </c>
      <c r="U18" s="3"/>
      <c r="V18" s="3"/>
      <c r="W18" s="45">
        <v>30</v>
      </c>
      <c r="X18" s="4"/>
      <c r="Y18" s="5">
        <v>3500</v>
      </c>
      <c r="Z18" s="7"/>
      <c r="AA18" s="4">
        <v>3500</v>
      </c>
      <c r="AB18" s="3"/>
      <c r="AC18" s="3"/>
      <c r="AD18" s="6">
        <v>3500</v>
      </c>
      <c r="AE18" s="4">
        <v>1400</v>
      </c>
      <c r="AF18" s="3"/>
      <c r="AG18" s="3"/>
      <c r="AH18" s="4">
        <v>350</v>
      </c>
      <c r="AI18" s="3"/>
      <c r="AJ18" s="4">
        <v>47.95</v>
      </c>
      <c r="AK18" s="4">
        <v>70</v>
      </c>
      <c r="AL18" s="4">
        <v>17.5</v>
      </c>
      <c r="AM18" s="6">
        <v>1885.45</v>
      </c>
      <c r="AN18" s="4">
        <v>315</v>
      </c>
      <c r="AO18" s="3"/>
      <c r="AP18" s="4">
        <v>24.5</v>
      </c>
      <c r="AQ18" s="4">
        <v>17.5</v>
      </c>
      <c r="AR18" s="4">
        <v>26.25</v>
      </c>
      <c r="AS18" s="4">
        <v>3.85</v>
      </c>
      <c r="AT18" s="4">
        <v>70</v>
      </c>
      <c r="AU18" s="6">
        <v>457.1</v>
      </c>
      <c r="AV18" s="6">
        <v>1614.55</v>
      </c>
      <c r="AX18" s="2">
        <f>VLOOKUP(A18,[1]Planilla!$A$7:$AT$31,46,0)</f>
        <v>1614.55</v>
      </c>
    </row>
    <row r="19" spans="1:50" x14ac:dyDescent="0.2">
      <c r="A19" s="41" t="s">
        <v>154</v>
      </c>
      <c r="B19" s="41"/>
      <c r="C19" s="3" t="s">
        <v>155</v>
      </c>
      <c r="D19" s="3" t="s">
        <v>156</v>
      </c>
      <c r="E19" s="3" t="s">
        <v>157</v>
      </c>
      <c r="F19" s="41" t="s">
        <v>55</v>
      </c>
      <c r="G19" s="41" t="s">
        <v>154</v>
      </c>
      <c r="H19" s="41" t="s">
        <v>56</v>
      </c>
      <c r="I19" s="42">
        <v>30782</v>
      </c>
      <c r="J19" s="3" t="s">
        <v>57</v>
      </c>
      <c r="K19" s="41" t="s">
        <v>58</v>
      </c>
      <c r="L19" s="3" t="s">
        <v>59</v>
      </c>
      <c r="M19" s="41" t="s">
        <v>60</v>
      </c>
      <c r="N19" s="3" t="s">
        <v>61</v>
      </c>
      <c r="O19" s="3" t="s">
        <v>62</v>
      </c>
      <c r="P19" s="41" t="s">
        <v>63</v>
      </c>
      <c r="Q19" s="41" t="s">
        <v>158</v>
      </c>
      <c r="R19" s="3" t="s">
        <v>65</v>
      </c>
      <c r="S19" s="3"/>
      <c r="T19" s="42">
        <v>45950</v>
      </c>
      <c r="U19" s="3"/>
      <c r="V19" s="3"/>
      <c r="W19" s="45">
        <v>30</v>
      </c>
      <c r="X19" s="4"/>
      <c r="Y19" s="5">
        <v>6750</v>
      </c>
      <c r="Z19" s="5">
        <v>113</v>
      </c>
      <c r="AA19" s="4">
        <v>6750</v>
      </c>
      <c r="AB19" s="4">
        <v>113</v>
      </c>
      <c r="AC19" s="4"/>
      <c r="AD19" s="6">
        <v>6863</v>
      </c>
      <c r="AE19" s="4">
        <v>2745.2</v>
      </c>
      <c r="AF19" s="4">
        <v>892.19</v>
      </c>
      <c r="AG19" s="4">
        <v>703.22</v>
      </c>
      <c r="AH19" s="3"/>
      <c r="AI19" s="3"/>
      <c r="AJ19" s="3"/>
      <c r="AK19" s="3"/>
      <c r="AL19" s="4">
        <v>34.32</v>
      </c>
      <c r="AM19" s="6">
        <v>4374.93</v>
      </c>
      <c r="AN19" s="4">
        <v>463.25</v>
      </c>
      <c r="AO19" s="4">
        <v>154.41999999999999</v>
      </c>
      <c r="AP19" s="4">
        <v>48.04</v>
      </c>
      <c r="AQ19" s="4">
        <v>34.32</v>
      </c>
      <c r="AR19" s="4">
        <v>51.47</v>
      </c>
      <c r="AS19" s="4">
        <v>11.67</v>
      </c>
      <c r="AT19" s="3"/>
      <c r="AU19" s="6">
        <v>763.17</v>
      </c>
      <c r="AV19" s="6">
        <v>2488.0700000000002</v>
      </c>
      <c r="AX19" s="2">
        <f>VLOOKUP(A19,[1]Planilla!$A$7:$AT$31,46,0)</f>
        <v>2488.0700000000002</v>
      </c>
    </row>
    <row r="20" spans="1:50" x14ac:dyDescent="0.2">
      <c r="A20" s="41" t="s">
        <v>159</v>
      </c>
      <c r="B20" s="41" t="s">
        <v>160</v>
      </c>
      <c r="C20" s="3" t="s">
        <v>161</v>
      </c>
      <c r="D20" s="3" t="s">
        <v>162</v>
      </c>
      <c r="E20" s="3" t="s">
        <v>163</v>
      </c>
      <c r="F20" s="41" t="s">
        <v>55</v>
      </c>
      <c r="G20" s="41" t="s">
        <v>159</v>
      </c>
      <c r="H20" s="41" t="s">
        <v>56</v>
      </c>
      <c r="I20" s="42">
        <v>35585</v>
      </c>
      <c r="J20" s="3" t="s">
        <v>164</v>
      </c>
      <c r="K20" s="41" t="s">
        <v>58</v>
      </c>
      <c r="L20" s="3" t="s">
        <v>59</v>
      </c>
      <c r="M20" s="41" t="s">
        <v>60</v>
      </c>
      <c r="N20" s="3" t="s">
        <v>61</v>
      </c>
      <c r="O20" s="3" t="s">
        <v>116</v>
      </c>
      <c r="P20" s="41" t="s">
        <v>72</v>
      </c>
      <c r="Q20" s="41" t="s">
        <v>165</v>
      </c>
      <c r="R20" s="3" t="s">
        <v>92</v>
      </c>
      <c r="S20" s="3" t="s">
        <v>166</v>
      </c>
      <c r="T20" s="42">
        <v>45957</v>
      </c>
      <c r="U20" s="3"/>
      <c r="V20" s="3"/>
      <c r="W20" s="45">
        <v>30</v>
      </c>
      <c r="X20" s="4"/>
      <c r="Y20" s="5">
        <v>6000</v>
      </c>
      <c r="Z20" s="7"/>
      <c r="AA20" s="4">
        <v>6000</v>
      </c>
      <c r="AB20" s="3"/>
      <c r="AC20" s="3"/>
      <c r="AD20" s="6">
        <v>6000</v>
      </c>
      <c r="AE20" s="4">
        <v>2400</v>
      </c>
      <c r="AF20" s="3"/>
      <c r="AG20" s="4">
        <v>72.33</v>
      </c>
      <c r="AH20" s="4">
        <v>600</v>
      </c>
      <c r="AI20" s="3"/>
      <c r="AJ20" s="4">
        <v>82.2</v>
      </c>
      <c r="AK20" s="4">
        <v>120</v>
      </c>
      <c r="AL20" s="4">
        <v>30</v>
      </c>
      <c r="AM20" s="6">
        <v>3304.53</v>
      </c>
      <c r="AN20" s="4">
        <v>405</v>
      </c>
      <c r="AO20" s="4">
        <v>135</v>
      </c>
      <c r="AP20" s="4">
        <v>42</v>
      </c>
      <c r="AQ20" s="4">
        <v>30</v>
      </c>
      <c r="AR20" s="4">
        <v>45</v>
      </c>
      <c r="AS20" s="4">
        <v>6.6</v>
      </c>
      <c r="AT20" s="4">
        <v>120</v>
      </c>
      <c r="AU20" s="6">
        <v>783.6</v>
      </c>
      <c r="AV20" s="6">
        <v>2695.47</v>
      </c>
      <c r="AX20" s="2">
        <f>VLOOKUP(A20,[1]Planilla!$A$7:$AT$31,46,0)</f>
        <v>2695.47</v>
      </c>
    </row>
    <row r="21" spans="1:50" x14ac:dyDescent="0.2">
      <c r="A21" s="41" t="s">
        <v>167</v>
      </c>
      <c r="B21" s="41" t="s">
        <v>168</v>
      </c>
      <c r="C21" s="3" t="s">
        <v>169</v>
      </c>
      <c r="D21" s="3" t="s">
        <v>170</v>
      </c>
      <c r="E21" s="3" t="s">
        <v>171</v>
      </c>
      <c r="F21" s="41" t="s">
        <v>55</v>
      </c>
      <c r="G21" s="41" t="s">
        <v>167</v>
      </c>
      <c r="H21" s="41" t="s">
        <v>56</v>
      </c>
      <c r="I21" s="42">
        <v>32883</v>
      </c>
      <c r="J21" s="3" t="s">
        <v>144</v>
      </c>
      <c r="K21" s="41" t="s">
        <v>58</v>
      </c>
      <c r="L21" s="3" t="s">
        <v>59</v>
      </c>
      <c r="M21" s="41" t="s">
        <v>60</v>
      </c>
      <c r="N21" s="3" t="s">
        <v>61</v>
      </c>
      <c r="O21" s="3" t="s">
        <v>82</v>
      </c>
      <c r="P21" s="41" t="s">
        <v>72</v>
      </c>
      <c r="Q21" s="41" t="s">
        <v>172</v>
      </c>
      <c r="R21" s="3" t="s">
        <v>173</v>
      </c>
      <c r="S21" s="3" t="s">
        <v>174</v>
      </c>
      <c r="T21" s="42">
        <v>45957</v>
      </c>
      <c r="U21" s="3"/>
      <c r="V21" s="3"/>
      <c r="W21" s="45">
        <v>30</v>
      </c>
      <c r="X21" s="4"/>
      <c r="Y21" s="5">
        <v>3500</v>
      </c>
      <c r="Z21" s="5">
        <v>113</v>
      </c>
      <c r="AA21" s="4">
        <v>3500</v>
      </c>
      <c r="AB21" s="4">
        <v>113</v>
      </c>
      <c r="AC21" s="4"/>
      <c r="AD21" s="6">
        <v>3613</v>
      </c>
      <c r="AE21" s="4">
        <v>1445.2</v>
      </c>
      <c r="AF21" s="3"/>
      <c r="AG21" s="4">
        <v>58.04</v>
      </c>
      <c r="AH21" s="4">
        <v>361.3</v>
      </c>
      <c r="AI21" s="4">
        <v>61.06</v>
      </c>
      <c r="AJ21" s="4">
        <v>49.5</v>
      </c>
      <c r="AK21" s="4">
        <v>72.260000000000005</v>
      </c>
      <c r="AL21" s="4">
        <v>18.07</v>
      </c>
      <c r="AM21" s="6">
        <v>2065.4299999999998</v>
      </c>
      <c r="AN21" s="4">
        <v>325.17</v>
      </c>
      <c r="AO21" s="3"/>
      <c r="AP21" s="4">
        <v>25.29</v>
      </c>
      <c r="AQ21" s="4">
        <v>18.07</v>
      </c>
      <c r="AR21" s="4">
        <v>27.1</v>
      </c>
      <c r="AS21" s="4">
        <v>3.97</v>
      </c>
      <c r="AT21" s="4">
        <v>72.260000000000005</v>
      </c>
      <c r="AU21" s="6">
        <v>471.86</v>
      </c>
      <c r="AV21" s="6">
        <v>1547.57</v>
      </c>
      <c r="AX21" s="2">
        <f>VLOOKUP(A21,[1]Planilla!$A$7:$AT$31,46,0)</f>
        <v>1547.57</v>
      </c>
    </row>
    <row r="22" spans="1:50" x14ac:dyDescent="0.2">
      <c r="A22" s="41" t="s">
        <v>175</v>
      </c>
      <c r="B22" s="41"/>
      <c r="C22" s="47" t="s">
        <v>176</v>
      </c>
      <c r="D22" s="3" t="s">
        <v>177</v>
      </c>
      <c r="E22" s="3" t="s">
        <v>178</v>
      </c>
      <c r="F22" s="41" t="s">
        <v>55</v>
      </c>
      <c r="G22" s="41" t="s">
        <v>175</v>
      </c>
      <c r="H22" s="41" t="s">
        <v>56</v>
      </c>
      <c r="I22" s="42">
        <v>33134</v>
      </c>
      <c r="J22" s="3" t="s">
        <v>81</v>
      </c>
      <c r="K22" s="41" t="s">
        <v>58</v>
      </c>
      <c r="L22" s="3" t="s">
        <v>59</v>
      </c>
      <c r="M22" s="41" t="s">
        <v>60</v>
      </c>
      <c r="N22" s="3" t="s">
        <v>61</v>
      </c>
      <c r="O22" s="3" t="s">
        <v>116</v>
      </c>
      <c r="P22" s="41" t="s">
        <v>72</v>
      </c>
      <c r="Q22" s="41" t="s">
        <v>179</v>
      </c>
      <c r="R22" s="3" t="s">
        <v>92</v>
      </c>
      <c r="S22" s="3" t="s">
        <v>180</v>
      </c>
      <c r="T22" s="42">
        <v>45988</v>
      </c>
      <c r="U22" s="3"/>
      <c r="V22" s="3"/>
      <c r="W22" s="45">
        <v>4</v>
      </c>
      <c r="X22" s="3"/>
      <c r="Y22" s="5">
        <v>3400</v>
      </c>
      <c r="Z22" s="5">
        <v>113</v>
      </c>
      <c r="AA22" s="4">
        <v>453.33</v>
      </c>
      <c r="AB22" s="3"/>
      <c r="AC22" s="3"/>
      <c r="AD22" s="6">
        <v>453.33</v>
      </c>
      <c r="AE22" s="3"/>
      <c r="AF22" s="3"/>
      <c r="AG22" s="4">
        <v>93.79</v>
      </c>
      <c r="AH22" s="4">
        <v>45.33</v>
      </c>
      <c r="AI22" s="3"/>
      <c r="AJ22" s="4">
        <v>6.21</v>
      </c>
      <c r="AK22" s="4">
        <v>9.07</v>
      </c>
      <c r="AL22" s="4">
        <v>2.27</v>
      </c>
      <c r="AM22" s="6">
        <v>156.66999999999999</v>
      </c>
      <c r="AN22" s="4">
        <v>40.799999999999997</v>
      </c>
      <c r="AO22" s="3"/>
      <c r="AP22" s="4">
        <v>3.17</v>
      </c>
      <c r="AQ22" s="4">
        <v>2.27</v>
      </c>
      <c r="AR22" s="4">
        <v>3.4</v>
      </c>
      <c r="AS22" s="4">
        <v>0.5</v>
      </c>
      <c r="AT22" s="4">
        <v>9.07</v>
      </c>
      <c r="AU22" s="6">
        <v>59.21</v>
      </c>
      <c r="AV22" s="6">
        <v>296.66000000000003</v>
      </c>
      <c r="AX22" s="2" t="e">
        <f>VLOOKUP(A22,[1]Planilla!$A$7:$AT$31,46,0)</f>
        <v>#N/A</v>
      </c>
    </row>
    <row r="23" spans="1:50" x14ac:dyDescent="0.2">
      <c r="A23" s="41" t="s">
        <v>181</v>
      </c>
      <c r="B23" s="41" t="s">
        <v>182</v>
      </c>
      <c r="C23" s="3" t="s">
        <v>183</v>
      </c>
      <c r="D23" s="3" t="s">
        <v>184</v>
      </c>
      <c r="E23" s="3" t="s">
        <v>185</v>
      </c>
      <c r="F23" s="41" t="s">
        <v>55</v>
      </c>
      <c r="G23" s="41" t="s">
        <v>181</v>
      </c>
      <c r="H23" s="41" t="s">
        <v>56</v>
      </c>
      <c r="I23" s="42">
        <v>32866</v>
      </c>
      <c r="J23" s="3" t="s">
        <v>136</v>
      </c>
      <c r="K23" s="41" t="s">
        <v>58</v>
      </c>
      <c r="L23" s="3" t="s">
        <v>59</v>
      </c>
      <c r="M23" s="41" t="s">
        <v>60</v>
      </c>
      <c r="N23" s="3" t="s">
        <v>61</v>
      </c>
      <c r="O23" s="3" t="s">
        <v>71</v>
      </c>
      <c r="P23" s="41" t="s">
        <v>72</v>
      </c>
      <c r="Q23" s="41" t="s">
        <v>186</v>
      </c>
      <c r="R23" s="3" t="s">
        <v>65</v>
      </c>
      <c r="S23" s="3"/>
      <c r="T23" s="42">
        <v>45952</v>
      </c>
      <c r="U23" s="3"/>
      <c r="V23" s="3"/>
      <c r="W23" s="45">
        <v>30</v>
      </c>
      <c r="X23" s="4"/>
      <c r="Y23" s="5">
        <v>6500</v>
      </c>
      <c r="Z23" s="5">
        <v>113</v>
      </c>
      <c r="AA23" s="4">
        <v>6500</v>
      </c>
      <c r="AB23" s="4">
        <v>113</v>
      </c>
      <c r="AC23" s="4"/>
      <c r="AD23" s="6">
        <v>6613</v>
      </c>
      <c r="AE23" s="4">
        <v>2645.2</v>
      </c>
      <c r="AF23" s="4">
        <v>859.69</v>
      </c>
      <c r="AG23" s="4">
        <v>351.14</v>
      </c>
      <c r="AH23" s="3"/>
      <c r="AI23" s="3"/>
      <c r="AJ23" s="3"/>
      <c r="AK23" s="3"/>
      <c r="AL23" s="4">
        <v>33.07</v>
      </c>
      <c r="AM23" s="6">
        <v>3889.1</v>
      </c>
      <c r="AN23" s="4">
        <v>446.38</v>
      </c>
      <c r="AO23" s="4">
        <v>148.79</v>
      </c>
      <c r="AP23" s="4">
        <v>46.29</v>
      </c>
      <c r="AQ23" s="4">
        <v>33.07</v>
      </c>
      <c r="AR23" s="4">
        <v>49.6</v>
      </c>
      <c r="AS23" s="4">
        <v>7.27</v>
      </c>
      <c r="AT23" s="3"/>
      <c r="AU23" s="6">
        <v>731.4</v>
      </c>
      <c r="AV23" s="6">
        <v>2723.9</v>
      </c>
      <c r="AX23" s="2">
        <f>VLOOKUP(A23,[1]Planilla!$A$7:$AT$31,46,0)</f>
        <v>2723.9</v>
      </c>
    </row>
    <row r="24" spans="1:50" x14ac:dyDescent="0.2">
      <c r="A24" s="41" t="s">
        <v>187</v>
      </c>
      <c r="B24" s="41" t="s">
        <v>188</v>
      </c>
      <c r="C24" s="3" t="s">
        <v>189</v>
      </c>
      <c r="D24" s="3" t="s">
        <v>190</v>
      </c>
      <c r="E24" s="3" t="s">
        <v>191</v>
      </c>
      <c r="F24" s="41" t="s">
        <v>55</v>
      </c>
      <c r="G24" s="41" t="s">
        <v>187</v>
      </c>
      <c r="H24" s="41" t="s">
        <v>56</v>
      </c>
      <c r="I24" s="42">
        <v>34807</v>
      </c>
      <c r="J24" s="3" t="s">
        <v>192</v>
      </c>
      <c r="K24" s="41" t="s">
        <v>58</v>
      </c>
      <c r="L24" s="3" t="s">
        <v>59</v>
      </c>
      <c r="M24" s="41" t="s">
        <v>60</v>
      </c>
      <c r="N24" s="3" t="s">
        <v>61</v>
      </c>
      <c r="O24" s="3" t="s">
        <v>62</v>
      </c>
      <c r="P24" s="41" t="s">
        <v>63</v>
      </c>
      <c r="Q24" s="41" t="s">
        <v>193</v>
      </c>
      <c r="R24" s="3" t="s">
        <v>118</v>
      </c>
      <c r="S24" s="3" t="s">
        <v>194</v>
      </c>
      <c r="T24" s="42">
        <v>45950</v>
      </c>
      <c r="U24" s="3"/>
      <c r="V24" s="3"/>
      <c r="W24" s="45">
        <v>30</v>
      </c>
      <c r="X24" s="4"/>
      <c r="Y24" s="5">
        <v>6500</v>
      </c>
      <c r="Z24" s="5">
        <v>113</v>
      </c>
      <c r="AA24" s="4">
        <v>6500</v>
      </c>
      <c r="AB24" s="4">
        <v>113</v>
      </c>
      <c r="AC24" s="4"/>
      <c r="AD24" s="6">
        <v>6613</v>
      </c>
      <c r="AE24" s="4">
        <v>2645.2</v>
      </c>
      <c r="AF24" s="3"/>
      <c r="AG24" s="4">
        <v>125.92</v>
      </c>
      <c r="AH24" s="4">
        <v>661.3</v>
      </c>
      <c r="AI24" s="3"/>
      <c r="AJ24" s="4">
        <v>90.6</v>
      </c>
      <c r="AK24" s="4">
        <v>132.26</v>
      </c>
      <c r="AL24" s="4">
        <v>33.07</v>
      </c>
      <c r="AM24" s="6">
        <v>3688.35</v>
      </c>
      <c r="AN24" s="4">
        <v>446.38</v>
      </c>
      <c r="AO24" s="4">
        <v>148.79</v>
      </c>
      <c r="AP24" s="4">
        <v>46.29</v>
      </c>
      <c r="AQ24" s="4">
        <v>33.07</v>
      </c>
      <c r="AR24" s="4">
        <v>49.6</v>
      </c>
      <c r="AS24" s="4">
        <v>7.27</v>
      </c>
      <c r="AT24" s="4">
        <v>132.26</v>
      </c>
      <c r="AU24" s="6">
        <v>863.66</v>
      </c>
      <c r="AV24" s="6">
        <v>2924.65</v>
      </c>
      <c r="AX24" s="2">
        <f>VLOOKUP(A24,[1]Planilla!$A$7:$AT$31,46,0)</f>
        <v>2924.65</v>
      </c>
    </row>
    <row r="25" spans="1:50" x14ac:dyDescent="0.2">
      <c r="A25" s="41" t="s">
        <v>195</v>
      </c>
      <c r="B25" s="41" t="s">
        <v>196</v>
      </c>
      <c r="C25" s="3" t="s">
        <v>197</v>
      </c>
      <c r="D25" s="3" t="s">
        <v>198</v>
      </c>
      <c r="E25" s="3" t="s">
        <v>199</v>
      </c>
      <c r="F25" s="41" t="s">
        <v>55</v>
      </c>
      <c r="G25" s="41" t="s">
        <v>195</v>
      </c>
      <c r="H25" s="41" t="s">
        <v>56</v>
      </c>
      <c r="I25" s="42">
        <v>28142</v>
      </c>
      <c r="J25" s="3" t="s">
        <v>99</v>
      </c>
      <c r="K25" s="41" t="s">
        <v>58</v>
      </c>
      <c r="L25" s="3" t="s">
        <v>59</v>
      </c>
      <c r="M25" s="41" t="s">
        <v>60</v>
      </c>
      <c r="N25" s="3" t="s">
        <v>61</v>
      </c>
      <c r="O25" s="3" t="s">
        <v>82</v>
      </c>
      <c r="P25" s="41" t="s">
        <v>72</v>
      </c>
      <c r="Q25" s="41" t="s">
        <v>200</v>
      </c>
      <c r="R25" s="3" t="s">
        <v>74</v>
      </c>
      <c r="S25" s="3" t="s">
        <v>201</v>
      </c>
      <c r="T25" s="42">
        <v>45976</v>
      </c>
      <c r="U25" s="3"/>
      <c r="V25" s="3"/>
      <c r="W25" s="45">
        <v>16</v>
      </c>
      <c r="X25" s="4"/>
      <c r="Y25" s="5">
        <v>3450</v>
      </c>
      <c r="Z25" s="5">
        <v>113</v>
      </c>
      <c r="AA25" s="4">
        <v>1840</v>
      </c>
      <c r="AB25" s="4">
        <v>113</v>
      </c>
      <c r="AC25" s="4"/>
      <c r="AD25" s="6">
        <v>1953</v>
      </c>
      <c r="AE25" s="3"/>
      <c r="AF25" s="3"/>
      <c r="AG25" s="3"/>
      <c r="AH25" s="4">
        <v>195.3</v>
      </c>
      <c r="AI25" s="4">
        <v>31.25</v>
      </c>
      <c r="AJ25" s="4">
        <v>26.76</v>
      </c>
      <c r="AK25" s="4">
        <v>39.06</v>
      </c>
      <c r="AL25" s="4">
        <v>9.77</v>
      </c>
      <c r="AM25" s="6">
        <v>302.14</v>
      </c>
      <c r="AN25" s="4">
        <v>96.26</v>
      </c>
      <c r="AO25" s="3"/>
      <c r="AP25" s="4">
        <v>13.67</v>
      </c>
      <c r="AQ25" s="4">
        <v>9.77</v>
      </c>
      <c r="AR25" s="4">
        <v>14.65</v>
      </c>
      <c r="AS25" s="4">
        <v>3.32</v>
      </c>
      <c r="AT25" s="4">
        <v>39.06</v>
      </c>
      <c r="AU25" s="6">
        <v>176.73</v>
      </c>
      <c r="AV25" s="6">
        <v>1650.86</v>
      </c>
      <c r="AX25" s="2">
        <f>VLOOKUP(A25,[1]Planilla!$A$7:$AT$31,46,0)</f>
        <v>1650.86</v>
      </c>
    </row>
    <row r="26" spans="1:50" x14ac:dyDescent="0.2">
      <c r="A26" s="41" t="s">
        <v>202</v>
      </c>
      <c r="B26" s="41" t="s">
        <v>203</v>
      </c>
      <c r="C26" s="3" t="s">
        <v>204</v>
      </c>
      <c r="D26" s="3" t="s">
        <v>205</v>
      </c>
      <c r="E26" s="3" t="s">
        <v>206</v>
      </c>
      <c r="F26" s="41" t="s">
        <v>55</v>
      </c>
      <c r="G26" s="41" t="s">
        <v>202</v>
      </c>
      <c r="H26" s="41" t="s">
        <v>56</v>
      </c>
      <c r="I26" s="42">
        <v>32587</v>
      </c>
      <c r="J26" s="3" t="s">
        <v>81</v>
      </c>
      <c r="K26" s="41" t="s">
        <v>58</v>
      </c>
      <c r="L26" s="3" t="s">
        <v>59</v>
      </c>
      <c r="M26" s="41" t="s">
        <v>60</v>
      </c>
      <c r="N26" s="3" t="s">
        <v>61</v>
      </c>
      <c r="O26" s="3" t="s">
        <v>207</v>
      </c>
      <c r="P26" s="41" t="s">
        <v>72</v>
      </c>
      <c r="Q26" s="41" t="s">
        <v>208</v>
      </c>
      <c r="R26" s="3" t="s">
        <v>173</v>
      </c>
      <c r="S26" s="3" t="s">
        <v>209</v>
      </c>
      <c r="T26" s="42">
        <v>45957</v>
      </c>
      <c r="U26" s="3"/>
      <c r="V26" s="3"/>
      <c r="W26" s="45">
        <v>30</v>
      </c>
      <c r="X26" s="4"/>
      <c r="Y26" s="5">
        <v>3400</v>
      </c>
      <c r="Z26" s="7"/>
      <c r="AA26" s="4">
        <v>3400</v>
      </c>
      <c r="AB26" s="3"/>
      <c r="AC26" s="3"/>
      <c r="AD26" s="6">
        <v>3400</v>
      </c>
      <c r="AE26" s="4">
        <v>1360</v>
      </c>
      <c r="AF26" s="3"/>
      <c r="AG26" s="4">
        <v>18.989999999999998</v>
      </c>
      <c r="AH26" s="4">
        <v>340</v>
      </c>
      <c r="AI26" s="4">
        <v>57.46</v>
      </c>
      <c r="AJ26" s="4">
        <v>46.58</v>
      </c>
      <c r="AK26" s="4">
        <v>68</v>
      </c>
      <c r="AL26" s="4">
        <v>17</v>
      </c>
      <c r="AM26" s="6">
        <v>1908.03</v>
      </c>
      <c r="AN26" s="4">
        <v>306</v>
      </c>
      <c r="AO26" s="3"/>
      <c r="AP26" s="4">
        <v>23.8</v>
      </c>
      <c r="AQ26" s="4">
        <v>17</v>
      </c>
      <c r="AR26" s="4">
        <v>25.5</v>
      </c>
      <c r="AS26" s="4">
        <v>3.74</v>
      </c>
      <c r="AT26" s="4">
        <v>68</v>
      </c>
      <c r="AU26" s="6">
        <v>444.04</v>
      </c>
      <c r="AV26" s="6">
        <v>1491.97</v>
      </c>
      <c r="AX26" s="2">
        <f>VLOOKUP(A26,[1]Planilla!$A$7:$AT$31,46,0)</f>
        <v>1491.97</v>
      </c>
    </row>
    <row r="27" spans="1:50" x14ac:dyDescent="0.2">
      <c r="A27" s="41" t="s">
        <v>210</v>
      </c>
      <c r="B27" s="41" t="s">
        <v>211</v>
      </c>
      <c r="C27" s="3" t="s">
        <v>212</v>
      </c>
      <c r="D27" s="3" t="s">
        <v>213</v>
      </c>
      <c r="E27" s="3" t="s">
        <v>214</v>
      </c>
      <c r="F27" s="41" t="s">
        <v>55</v>
      </c>
      <c r="G27" s="41" t="s">
        <v>210</v>
      </c>
      <c r="H27" s="41" t="s">
        <v>56</v>
      </c>
      <c r="I27" s="42">
        <v>35027</v>
      </c>
      <c r="J27" s="3" t="s">
        <v>99</v>
      </c>
      <c r="K27" s="41" t="s">
        <v>58</v>
      </c>
      <c r="L27" s="3" t="s">
        <v>59</v>
      </c>
      <c r="M27" s="41" t="s">
        <v>60</v>
      </c>
      <c r="N27" s="3" t="s">
        <v>61</v>
      </c>
      <c r="O27" s="3" t="s">
        <v>82</v>
      </c>
      <c r="P27" s="41" t="s">
        <v>72</v>
      </c>
      <c r="Q27" s="41" t="s">
        <v>215</v>
      </c>
      <c r="R27" s="3" t="s">
        <v>92</v>
      </c>
      <c r="S27" s="3" t="s">
        <v>216</v>
      </c>
      <c r="T27" s="42">
        <v>45957</v>
      </c>
      <c r="U27" s="3"/>
      <c r="V27" s="3"/>
      <c r="W27" s="45">
        <v>30</v>
      </c>
      <c r="X27" s="4"/>
      <c r="Y27" s="5">
        <v>3450</v>
      </c>
      <c r="Z27" s="7"/>
      <c r="AA27" s="4">
        <v>3450</v>
      </c>
      <c r="AB27" s="3"/>
      <c r="AC27" s="3"/>
      <c r="AD27" s="6">
        <v>3450</v>
      </c>
      <c r="AE27" s="4">
        <v>1380</v>
      </c>
      <c r="AF27" s="3"/>
      <c r="AG27" s="3"/>
      <c r="AH27" s="4">
        <v>345</v>
      </c>
      <c r="AI27" s="3"/>
      <c r="AJ27" s="4">
        <v>47.27</v>
      </c>
      <c r="AK27" s="4">
        <v>69</v>
      </c>
      <c r="AL27" s="4">
        <v>17.25</v>
      </c>
      <c r="AM27" s="6">
        <v>1858.52</v>
      </c>
      <c r="AN27" s="4">
        <v>310.5</v>
      </c>
      <c r="AO27" s="3"/>
      <c r="AP27" s="4">
        <v>24.15</v>
      </c>
      <c r="AQ27" s="4">
        <v>17.25</v>
      </c>
      <c r="AR27" s="4">
        <v>25.88</v>
      </c>
      <c r="AS27" s="4">
        <v>3.8</v>
      </c>
      <c r="AT27" s="4">
        <v>69</v>
      </c>
      <c r="AU27" s="6">
        <v>450.58</v>
      </c>
      <c r="AV27" s="6">
        <v>1591.48</v>
      </c>
      <c r="AX27" s="2">
        <f>VLOOKUP(A27,[1]Planilla!$A$7:$AT$31,46,0)</f>
        <v>1591.48</v>
      </c>
    </row>
    <row r="28" spans="1:50" x14ac:dyDescent="0.2">
      <c r="A28" s="41" t="s">
        <v>217</v>
      </c>
      <c r="B28" s="41" t="s">
        <v>218</v>
      </c>
      <c r="C28" s="3" t="s">
        <v>219</v>
      </c>
      <c r="D28" s="3" t="s">
        <v>220</v>
      </c>
      <c r="E28" s="3" t="s">
        <v>221</v>
      </c>
      <c r="F28" s="41" t="s">
        <v>55</v>
      </c>
      <c r="G28" s="41" t="s">
        <v>217</v>
      </c>
      <c r="H28" s="41" t="s">
        <v>151</v>
      </c>
      <c r="I28" s="42">
        <v>32137</v>
      </c>
      <c r="J28" s="3" t="s">
        <v>222</v>
      </c>
      <c r="K28" s="41" t="s">
        <v>58</v>
      </c>
      <c r="L28" s="3" t="s">
        <v>59</v>
      </c>
      <c r="M28" s="41" t="s">
        <v>60</v>
      </c>
      <c r="N28" s="3" t="s">
        <v>61</v>
      </c>
      <c r="O28" s="3" t="s">
        <v>82</v>
      </c>
      <c r="P28" s="41" t="s">
        <v>72</v>
      </c>
      <c r="Q28" s="41" t="s">
        <v>223</v>
      </c>
      <c r="R28" s="3" t="s">
        <v>74</v>
      </c>
      <c r="S28" s="3" t="s">
        <v>224</v>
      </c>
      <c r="T28" s="42">
        <v>45957</v>
      </c>
      <c r="U28" s="3"/>
      <c r="V28" s="3"/>
      <c r="W28" s="45">
        <v>30</v>
      </c>
      <c r="X28" s="4"/>
      <c r="Y28" s="5">
        <v>3200</v>
      </c>
      <c r="Z28" s="7"/>
      <c r="AA28" s="4">
        <v>3200</v>
      </c>
      <c r="AB28" s="3"/>
      <c r="AC28" s="3"/>
      <c r="AD28" s="6">
        <v>3200</v>
      </c>
      <c r="AE28" s="4">
        <v>1280</v>
      </c>
      <c r="AF28" s="3"/>
      <c r="AG28" s="3"/>
      <c r="AH28" s="4">
        <v>320</v>
      </c>
      <c r="AI28" s="3"/>
      <c r="AJ28" s="4">
        <v>43.84</v>
      </c>
      <c r="AK28" s="4">
        <v>64</v>
      </c>
      <c r="AL28" s="4">
        <v>16</v>
      </c>
      <c r="AM28" s="6">
        <v>1723.84</v>
      </c>
      <c r="AN28" s="4">
        <v>216</v>
      </c>
      <c r="AO28" s="4">
        <v>72</v>
      </c>
      <c r="AP28" s="4">
        <v>22.4</v>
      </c>
      <c r="AQ28" s="4">
        <v>16</v>
      </c>
      <c r="AR28" s="4">
        <v>24</v>
      </c>
      <c r="AS28" s="4">
        <v>5.44</v>
      </c>
      <c r="AT28" s="4">
        <v>64</v>
      </c>
      <c r="AU28" s="6">
        <v>419.84</v>
      </c>
      <c r="AV28" s="6">
        <v>1476.16</v>
      </c>
      <c r="AX28" s="2">
        <f>VLOOKUP(A28,[1]Planilla!$A$7:$AT$31,46,0)</f>
        <v>1476.16</v>
      </c>
    </row>
    <row r="29" spans="1:50" x14ac:dyDescent="0.2">
      <c r="A29" s="41" t="s">
        <v>225</v>
      </c>
      <c r="B29" s="41" t="s">
        <v>226</v>
      </c>
      <c r="C29" s="3" t="s">
        <v>227</v>
      </c>
      <c r="D29" s="3" t="s">
        <v>228</v>
      </c>
      <c r="E29" s="3" t="s">
        <v>89</v>
      </c>
      <c r="F29" s="41" t="s">
        <v>55</v>
      </c>
      <c r="G29" s="41" t="s">
        <v>225</v>
      </c>
      <c r="H29" s="41" t="s">
        <v>56</v>
      </c>
      <c r="I29" s="42">
        <v>35158</v>
      </c>
      <c r="J29" s="3" t="s">
        <v>130</v>
      </c>
      <c r="K29" s="41" t="s">
        <v>58</v>
      </c>
      <c r="L29" s="3" t="s">
        <v>59</v>
      </c>
      <c r="M29" s="41" t="s">
        <v>60</v>
      </c>
      <c r="N29" s="3" t="s">
        <v>61</v>
      </c>
      <c r="O29" s="3" t="s">
        <v>82</v>
      </c>
      <c r="P29" s="41" t="s">
        <v>72</v>
      </c>
      <c r="Q29" s="41" t="s">
        <v>229</v>
      </c>
      <c r="R29" s="3" t="s">
        <v>65</v>
      </c>
      <c r="S29" s="3"/>
      <c r="T29" s="42">
        <v>45957</v>
      </c>
      <c r="U29" s="3"/>
      <c r="V29" s="3"/>
      <c r="W29" s="45">
        <v>30</v>
      </c>
      <c r="X29" s="4"/>
      <c r="Y29" s="5">
        <v>3500</v>
      </c>
      <c r="Z29" s="7"/>
      <c r="AA29" s="4">
        <v>3500</v>
      </c>
      <c r="AB29" s="3"/>
      <c r="AC29" s="3"/>
      <c r="AD29" s="6">
        <v>3500</v>
      </c>
      <c r="AE29" s="4">
        <v>1400</v>
      </c>
      <c r="AF29" s="4">
        <v>455</v>
      </c>
      <c r="AG29" s="3"/>
      <c r="AH29" s="3"/>
      <c r="AI29" s="3"/>
      <c r="AJ29" s="3"/>
      <c r="AK29" s="3"/>
      <c r="AL29" s="4">
        <v>17.5</v>
      </c>
      <c r="AM29" s="6">
        <v>1872.5</v>
      </c>
      <c r="AN29" s="4">
        <v>315</v>
      </c>
      <c r="AO29" s="3"/>
      <c r="AP29" s="4">
        <v>24.5</v>
      </c>
      <c r="AQ29" s="4">
        <v>17.5</v>
      </c>
      <c r="AR29" s="4">
        <v>26.25</v>
      </c>
      <c r="AS29" s="4">
        <v>3.85</v>
      </c>
      <c r="AT29" s="3"/>
      <c r="AU29" s="6">
        <v>387.1</v>
      </c>
      <c r="AV29" s="6">
        <v>1627.5</v>
      </c>
      <c r="AX29" s="2">
        <f>VLOOKUP(A29,[1]Planilla!$A$7:$AT$31,46,0)</f>
        <v>1627.5</v>
      </c>
    </row>
    <row r="30" spans="1:50" x14ac:dyDescent="0.2">
      <c r="A30" s="41" t="s">
        <v>230</v>
      </c>
      <c r="B30" s="41" t="s">
        <v>231</v>
      </c>
      <c r="C30" s="3" t="s">
        <v>232</v>
      </c>
      <c r="D30" s="3" t="s">
        <v>233</v>
      </c>
      <c r="E30" s="3" t="s">
        <v>234</v>
      </c>
      <c r="F30" s="41" t="s">
        <v>55</v>
      </c>
      <c r="G30" s="41" t="s">
        <v>230</v>
      </c>
      <c r="H30" s="41" t="s">
        <v>56</v>
      </c>
      <c r="I30" s="42">
        <v>33624</v>
      </c>
      <c r="J30" s="3" t="s">
        <v>81</v>
      </c>
      <c r="K30" s="41" t="s">
        <v>58</v>
      </c>
      <c r="L30" s="3" t="s">
        <v>59</v>
      </c>
      <c r="M30" s="41" t="s">
        <v>60</v>
      </c>
      <c r="N30" s="3" t="s">
        <v>61</v>
      </c>
      <c r="O30" s="3" t="s">
        <v>62</v>
      </c>
      <c r="P30" s="41" t="s">
        <v>63</v>
      </c>
      <c r="Q30" s="41" t="s">
        <v>235</v>
      </c>
      <c r="R30" s="3" t="s">
        <v>92</v>
      </c>
      <c r="S30" s="3" t="s">
        <v>236</v>
      </c>
      <c r="T30" s="42">
        <v>45957</v>
      </c>
      <c r="U30" s="3"/>
      <c r="V30" s="3"/>
      <c r="W30" s="45">
        <v>26</v>
      </c>
      <c r="X30" s="4">
        <v>4</v>
      </c>
      <c r="Y30" s="5">
        <v>3400</v>
      </c>
      <c r="Z30" s="7"/>
      <c r="AA30" s="4">
        <v>2946.67</v>
      </c>
      <c r="AB30" s="3"/>
      <c r="AC30" s="4">
        <v>453.33</v>
      </c>
      <c r="AD30" s="6">
        <v>3400</v>
      </c>
      <c r="AE30" s="4">
        <v>1360</v>
      </c>
      <c r="AF30" s="3"/>
      <c r="AG30" s="3"/>
      <c r="AH30" s="4">
        <v>340</v>
      </c>
      <c r="AI30" s="3"/>
      <c r="AJ30" s="4">
        <v>46.58</v>
      </c>
      <c r="AK30" s="4">
        <v>68</v>
      </c>
      <c r="AL30" s="4">
        <v>17</v>
      </c>
      <c r="AM30" s="6">
        <v>1831.58</v>
      </c>
      <c r="AN30" s="4">
        <v>306</v>
      </c>
      <c r="AO30" s="3"/>
      <c r="AP30" s="4">
        <v>23.8</v>
      </c>
      <c r="AQ30" s="4">
        <v>17</v>
      </c>
      <c r="AR30" s="4">
        <v>25.5</v>
      </c>
      <c r="AS30" s="4">
        <v>3.74</v>
      </c>
      <c r="AT30" s="4">
        <v>68</v>
      </c>
      <c r="AU30" s="6">
        <v>444.04</v>
      </c>
      <c r="AV30" s="6">
        <v>1568.42</v>
      </c>
      <c r="AX30" s="2">
        <f>VLOOKUP(A30,[1]Planilla!$A$7:$AT$31,46,0)</f>
        <v>1568.42</v>
      </c>
    </row>
    <row r="31" spans="1:50" x14ac:dyDescent="0.2">
      <c r="A31" s="41" t="s">
        <v>237</v>
      </c>
      <c r="B31" s="41" t="s">
        <v>238</v>
      </c>
      <c r="C31" s="3" t="s">
        <v>239</v>
      </c>
      <c r="D31" s="3" t="s">
        <v>240</v>
      </c>
      <c r="E31" s="3" t="s">
        <v>241</v>
      </c>
      <c r="F31" s="41" t="s">
        <v>55</v>
      </c>
      <c r="G31" s="41" t="s">
        <v>237</v>
      </c>
      <c r="H31" s="41" t="s">
        <v>56</v>
      </c>
      <c r="I31" s="42">
        <v>35728</v>
      </c>
      <c r="J31" s="3" t="s">
        <v>99</v>
      </c>
      <c r="K31" s="41" t="s">
        <v>58</v>
      </c>
      <c r="L31" s="3" t="s">
        <v>59</v>
      </c>
      <c r="M31" s="41" t="s">
        <v>60</v>
      </c>
      <c r="N31" s="3" t="s">
        <v>61</v>
      </c>
      <c r="O31" s="3" t="s">
        <v>62</v>
      </c>
      <c r="P31" s="41" t="s">
        <v>63</v>
      </c>
      <c r="Q31" s="41" t="s">
        <v>242</v>
      </c>
      <c r="R31" s="3" t="s">
        <v>92</v>
      </c>
      <c r="S31" s="3" t="s">
        <v>243</v>
      </c>
      <c r="T31" s="42">
        <v>45964</v>
      </c>
      <c r="U31" s="3"/>
      <c r="V31" s="3"/>
      <c r="W31" s="45">
        <v>28</v>
      </c>
      <c r="X31" s="4"/>
      <c r="Y31" s="5">
        <v>3450</v>
      </c>
      <c r="Z31" s="7"/>
      <c r="AA31" s="4">
        <v>3220</v>
      </c>
      <c r="AB31" s="3"/>
      <c r="AC31" s="3"/>
      <c r="AD31" s="6">
        <v>3220</v>
      </c>
      <c r="AE31" s="4">
        <v>1288</v>
      </c>
      <c r="AF31" s="3"/>
      <c r="AG31" s="3"/>
      <c r="AH31" s="4">
        <v>322</v>
      </c>
      <c r="AI31" s="3"/>
      <c r="AJ31" s="4">
        <v>44.11</v>
      </c>
      <c r="AK31" s="4">
        <v>64.400000000000006</v>
      </c>
      <c r="AL31" s="4">
        <v>16.100000000000001</v>
      </c>
      <c r="AM31" s="6">
        <v>1734.61</v>
      </c>
      <c r="AN31" s="4">
        <v>289.8</v>
      </c>
      <c r="AO31" s="3"/>
      <c r="AP31" s="4">
        <v>22.54</v>
      </c>
      <c r="AQ31" s="4">
        <v>16.100000000000001</v>
      </c>
      <c r="AR31" s="4">
        <v>24.15</v>
      </c>
      <c r="AS31" s="4">
        <v>3.54</v>
      </c>
      <c r="AT31" s="4">
        <v>64.400000000000006</v>
      </c>
      <c r="AU31" s="6">
        <v>420.53</v>
      </c>
      <c r="AV31" s="6">
        <v>1485.39</v>
      </c>
      <c r="AX31" s="2">
        <f>VLOOKUP(A31,[1]Planilla!$A$7:$AT$31,46,0)</f>
        <v>1485.39</v>
      </c>
    </row>
    <row r="32" spans="1:50" x14ac:dyDescent="0.2">
      <c r="A32" s="41" t="s">
        <v>244</v>
      </c>
      <c r="B32" s="41" t="s">
        <v>245</v>
      </c>
      <c r="C32" s="3" t="s">
        <v>246</v>
      </c>
      <c r="D32" s="3" t="s">
        <v>247</v>
      </c>
      <c r="E32" s="3" t="s">
        <v>248</v>
      </c>
      <c r="F32" s="41" t="s">
        <v>55</v>
      </c>
      <c r="G32" s="41" t="s">
        <v>244</v>
      </c>
      <c r="H32" s="41" t="s">
        <v>56</v>
      </c>
      <c r="I32" s="42">
        <v>32874</v>
      </c>
      <c r="J32" s="3" t="s">
        <v>130</v>
      </c>
      <c r="K32" s="41" t="s">
        <v>58</v>
      </c>
      <c r="L32" s="3" t="s">
        <v>59</v>
      </c>
      <c r="M32" s="41" t="s">
        <v>60</v>
      </c>
      <c r="N32" s="3" t="s">
        <v>61</v>
      </c>
      <c r="O32" s="3" t="s">
        <v>82</v>
      </c>
      <c r="P32" s="41" t="s">
        <v>72</v>
      </c>
      <c r="Q32" s="41" t="s">
        <v>249</v>
      </c>
      <c r="R32" s="3" t="s">
        <v>92</v>
      </c>
      <c r="S32" s="3" t="s">
        <v>250</v>
      </c>
      <c r="T32" s="42">
        <v>45950</v>
      </c>
      <c r="U32" s="3"/>
      <c r="V32" s="3"/>
      <c r="W32" s="45">
        <v>30</v>
      </c>
      <c r="X32" s="4"/>
      <c r="Y32" s="5">
        <v>3500</v>
      </c>
      <c r="Z32" s="5">
        <v>113</v>
      </c>
      <c r="AA32" s="4">
        <v>3500</v>
      </c>
      <c r="AB32" s="4">
        <v>113</v>
      </c>
      <c r="AC32" s="4"/>
      <c r="AD32" s="6">
        <v>3613</v>
      </c>
      <c r="AE32" s="4">
        <v>1445.2</v>
      </c>
      <c r="AF32" s="3"/>
      <c r="AG32" s="3"/>
      <c r="AH32" s="4">
        <v>361.3</v>
      </c>
      <c r="AI32" s="4">
        <v>56</v>
      </c>
      <c r="AJ32" s="4">
        <v>49.5</v>
      </c>
      <c r="AK32" s="4">
        <v>72.260000000000005</v>
      </c>
      <c r="AL32" s="4">
        <v>18.07</v>
      </c>
      <c r="AM32" s="6">
        <v>2002.33</v>
      </c>
      <c r="AN32" s="4">
        <v>325.17</v>
      </c>
      <c r="AO32" s="3"/>
      <c r="AP32" s="4">
        <v>25.29</v>
      </c>
      <c r="AQ32" s="4">
        <v>18.07</v>
      </c>
      <c r="AR32" s="4">
        <v>27.1</v>
      </c>
      <c r="AS32" s="4">
        <v>3.97</v>
      </c>
      <c r="AT32" s="4">
        <v>72.260000000000005</v>
      </c>
      <c r="AU32" s="6">
        <v>471.86</v>
      </c>
      <c r="AV32" s="6">
        <v>1610.67</v>
      </c>
      <c r="AX32" s="2">
        <f>VLOOKUP(A32,[1]Planilla!$A$7:$AT$31,46,0)</f>
        <v>1610.67</v>
      </c>
    </row>
    <row r="33" spans="1:50" x14ac:dyDescent="0.2">
      <c r="A33" s="41" t="s">
        <v>251</v>
      </c>
      <c r="B33" s="41" t="s">
        <v>252</v>
      </c>
      <c r="C33" s="3" t="s">
        <v>253</v>
      </c>
      <c r="D33" s="3" t="s">
        <v>254</v>
      </c>
      <c r="E33" s="3" t="s">
        <v>157</v>
      </c>
      <c r="F33" s="41" t="s">
        <v>55</v>
      </c>
      <c r="G33" s="41" t="s">
        <v>251</v>
      </c>
      <c r="H33" s="41" t="s">
        <v>56</v>
      </c>
      <c r="I33" s="42">
        <v>34104</v>
      </c>
      <c r="J33" s="3" t="s">
        <v>81</v>
      </c>
      <c r="K33" s="41" t="s">
        <v>58</v>
      </c>
      <c r="L33" s="3" t="s">
        <v>59</v>
      </c>
      <c r="M33" s="41" t="s">
        <v>60</v>
      </c>
      <c r="N33" s="3" t="s">
        <v>61</v>
      </c>
      <c r="O33" s="3" t="s">
        <v>62</v>
      </c>
      <c r="P33" s="41" t="s">
        <v>63</v>
      </c>
      <c r="Q33" s="41" t="s">
        <v>255</v>
      </c>
      <c r="R33" s="3" t="s">
        <v>65</v>
      </c>
      <c r="S33" s="3"/>
      <c r="T33" s="42">
        <v>45957</v>
      </c>
      <c r="U33" s="3"/>
      <c r="V33" s="3"/>
      <c r="W33" s="45">
        <v>30</v>
      </c>
      <c r="X33" s="4"/>
      <c r="Y33" s="5">
        <v>3400</v>
      </c>
      <c r="Z33" s="5">
        <v>113</v>
      </c>
      <c r="AA33" s="4">
        <v>3400</v>
      </c>
      <c r="AB33" s="4">
        <v>113</v>
      </c>
      <c r="AC33" s="4"/>
      <c r="AD33" s="6">
        <v>3513</v>
      </c>
      <c r="AE33" s="4">
        <v>1405.2</v>
      </c>
      <c r="AF33" s="4">
        <v>456.69</v>
      </c>
      <c r="AG33" s="3"/>
      <c r="AH33" s="3"/>
      <c r="AI33" s="3"/>
      <c r="AJ33" s="3"/>
      <c r="AK33" s="3"/>
      <c r="AL33" s="4">
        <v>17.57</v>
      </c>
      <c r="AM33" s="6">
        <v>1879.46</v>
      </c>
      <c r="AN33" s="4">
        <v>316.17</v>
      </c>
      <c r="AO33" s="3"/>
      <c r="AP33" s="4">
        <v>24.59</v>
      </c>
      <c r="AQ33" s="4">
        <v>17.57</v>
      </c>
      <c r="AR33" s="4">
        <v>26.35</v>
      </c>
      <c r="AS33" s="4">
        <v>3.86</v>
      </c>
      <c r="AT33" s="3"/>
      <c r="AU33" s="6">
        <v>388.54</v>
      </c>
      <c r="AV33" s="6">
        <v>1633.54</v>
      </c>
      <c r="AX33" s="2">
        <f>VLOOKUP(A33,[1]Planilla!$A$7:$AT$31,46,0)</f>
        <v>1633.54</v>
      </c>
    </row>
    <row r="34" spans="1:50" x14ac:dyDescent="0.2">
      <c r="A34" s="8"/>
      <c r="B34" s="43"/>
      <c r="C34" s="8"/>
      <c r="D34" s="8"/>
      <c r="E34" s="8"/>
      <c r="F34" s="43"/>
      <c r="G34" s="43"/>
      <c r="H34" s="43"/>
      <c r="I34" s="43"/>
      <c r="J34" s="8"/>
      <c r="K34" s="43"/>
      <c r="L34" s="8"/>
      <c r="M34" s="43"/>
      <c r="N34" s="8"/>
      <c r="O34" s="8"/>
      <c r="P34" s="43"/>
      <c r="Q34" s="43"/>
      <c r="R34" s="8"/>
      <c r="S34" s="8"/>
      <c r="T34" s="43"/>
      <c r="U34" s="8"/>
      <c r="V34" s="8"/>
      <c r="W34" s="46">
        <f t="shared" ref="W34:AV34" si="0">SUM(W7:W33)</f>
        <v>698</v>
      </c>
      <c r="X34" s="9">
        <f t="shared" si="0"/>
        <v>4</v>
      </c>
      <c r="Y34" s="10">
        <f t="shared" si="0"/>
        <v>134150</v>
      </c>
      <c r="Z34" s="10">
        <f t="shared" si="0"/>
        <v>1921</v>
      </c>
      <c r="AA34" s="9">
        <f t="shared" si="0"/>
        <v>112585</v>
      </c>
      <c r="AB34" s="9">
        <f t="shared" si="0"/>
        <v>1808</v>
      </c>
      <c r="AC34" s="9">
        <f t="shared" si="0"/>
        <v>453.33</v>
      </c>
      <c r="AD34" s="9">
        <f t="shared" si="0"/>
        <v>114846.33</v>
      </c>
      <c r="AE34" s="9">
        <f t="shared" si="0"/>
        <v>35946.839999999997</v>
      </c>
      <c r="AF34" s="9">
        <f t="shared" si="0"/>
        <v>4108.3900000000003</v>
      </c>
      <c r="AG34" s="9">
        <f t="shared" si="0"/>
        <v>2866.4999999999995</v>
      </c>
      <c r="AH34" s="9">
        <f t="shared" si="0"/>
        <v>8324.33</v>
      </c>
      <c r="AI34" s="9">
        <f t="shared" si="0"/>
        <v>432.83</v>
      </c>
      <c r="AJ34" s="9">
        <f t="shared" si="0"/>
        <v>1095.6800000000003</v>
      </c>
      <c r="AK34" s="9">
        <f t="shared" si="0"/>
        <v>1664.8700000000001</v>
      </c>
      <c r="AL34" s="9">
        <f t="shared" si="0"/>
        <v>574.30000000000007</v>
      </c>
      <c r="AM34" s="9">
        <f t="shared" si="0"/>
        <v>55013.739999999991</v>
      </c>
      <c r="AN34" s="9">
        <f t="shared" si="0"/>
        <v>8868.1100000000024</v>
      </c>
      <c r="AO34" s="9">
        <f t="shared" si="0"/>
        <v>1376.62</v>
      </c>
      <c r="AP34" s="9">
        <f t="shared" si="0"/>
        <v>781.03999999999985</v>
      </c>
      <c r="AQ34" s="9">
        <f t="shared" si="0"/>
        <v>574.30000000000007</v>
      </c>
      <c r="AR34" s="9">
        <f t="shared" si="0"/>
        <v>861.38000000000011</v>
      </c>
      <c r="AS34" s="9">
        <f t="shared" si="0"/>
        <v>159.16</v>
      </c>
      <c r="AT34" s="9">
        <f t="shared" si="0"/>
        <v>1664.8700000000001</v>
      </c>
      <c r="AU34" s="9">
        <f t="shared" si="0"/>
        <v>14285.480000000005</v>
      </c>
      <c r="AV34" s="9">
        <f t="shared" si="0"/>
        <v>59832.590000000018</v>
      </c>
    </row>
    <row r="35" spans="1:50" ht="10.8" thickBot="1" x14ac:dyDescent="0.25"/>
    <row r="36" spans="1:50" ht="15.75" customHeight="1" thickBot="1" x14ac:dyDescent="0.25">
      <c r="A36" s="11" t="s">
        <v>256</v>
      </c>
      <c r="B36" s="12"/>
      <c r="C36" s="13"/>
    </row>
    <row r="37" spans="1:50" x14ac:dyDescent="0.2">
      <c r="A37" s="14" t="s">
        <v>257</v>
      </c>
      <c r="B37" s="15"/>
      <c r="C37" s="16">
        <v>19</v>
      </c>
      <c r="AT37" s="17" t="s">
        <v>258</v>
      </c>
      <c r="AU37" s="18"/>
      <c r="AV37" s="19" t="s">
        <v>259</v>
      </c>
    </row>
    <row r="38" spans="1:50" x14ac:dyDescent="0.2">
      <c r="A38" s="20" t="s">
        <v>260</v>
      </c>
      <c r="B38" s="21"/>
      <c r="C38" s="22">
        <v>9</v>
      </c>
      <c r="AT38" s="23" t="s">
        <v>261</v>
      </c>
      <c r="AU38" s="24" t="s">
        <v>72</v>
      </c>
      <c r="AV38" s="25">
        <f>+SUMIF($P$7:$P$33,AU38,$AV$7:$AV$33)-AV40</f>
        <v>43705.200000000004</v>
      </c>
    </row>
    <row r="39" spans="1:50" x14ac:dyDescent="0.2">
      <c r="A39" s="20" t="s">
        <v>262</v>
      </c>
      <c r="B39" s="21"/>
      <c r="C39" s="22">
        <v>1</v>
      </c>
      <c r="AT39" s="23" t="s">
        <v>263</v>
      </c>
      <c r="AU39" s="24" t="s">
        <v>63</v>
      </c>
      <c r="AV39" s="25">
        <f>+SUMIF($P$7:$P$33,AU39,$AV$7:$AV$33)-AV41</f>
        <v>16127.39</v>
      </c>
    </row>
    <row r="40" spans="1:50" x14ac:dyDescent="0.2">
      <c r="A40" s="20" t="s">
        <v>264</v>
      </c>
      <c r="B40" s="21"/>
      <c r="C40" s="26">
        <v>0</v>
      </c>
      <c r="AT40" s="27" t="s">
        <v>265</v>
      </c>
      <c r="AU40" s="28" t="s">
        <v>72</v>
      </c>
      <c r="AV40" s="29"/>
    </row>
    <row r="41" spans="1:50" x14ac:dyDescent="0.2">
      <c r="A41" s="20" t="s">
        <v>266</v>
      </c>
      <c r="B41" s="21"/>
      <c r="C41" s="26">
        <v>0</v>
      </c>
      <c r="AT41" s="27" t="s">
        <v>265</v>
      </c>
      <c r="AU41" s="28" t="s">
        <v>63</v>
      </c>
      <c r="AV41" s="30"/>
    </row>
    <row r="42" spans="1:50" ht="10.8" thickBot="1" x14ac:dyDescent="0.25">
      <c r="A42" s="31" t="s">
        <v>267</v>
      </c>
      <c r="B42" s="44"/>
      <c r="C42" s="32">
        <f>+C37+C38-C39+C40-C41</f>
        <v>27</v>
      </c>
      <c r="AT42" s="33" t="s">
        <v>268</v>
      </c>
      <c r="AU42" s="34"/>
      <c r="AV42" s="35">
        <f>SUM(AV38:AV41)</f>
        <v>59832.590000000004</v>
      </c>
    </row>
  </sheetData>
  <autoFilter ref="A6:CP965" xr:uid="{00000000-0001-0000-0000-000000000000}"/>
  <mergeCells count="1">
    <mergeCell ref="A36:C36"/>
  </mergeCells>
  <pageMargins left="0.75" right="0.75" top="0.75" bottom="0.5" header="0.5" footer="0.7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83e254-8e92-469a-92ff-1764cfa2436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4DD192BD246E4C8CF546502EE6DB75" ma:contentTypeVersion="19" ma:contentTypeDescription="Crear nuevo documento." ma:contentTypeScope="" ma:versionID="dff1670907a0e249c5a65fe6096c19d7">
  <xsd:schema xmlns:xsd="http://www.w3.org/2001/XMLSchema" xmlns:xs="http://www.w3.org/2001/XMLSchema" xmlns:p="http://schemas.microsoft.com/office/2006/metadata/properties" xmlns:ns2="b7c6eafc-7d12-41dd-9be1-0a94e4190535" xmlns:ns3="a4ddeba7-b704-4ecc-adcd-5e003fb65ef3" xmlns:ns4="6e83e254-8e92-469a-92ff-1764cfa2436f" targetNamespace="http://schemas.microsoft.com/office/2006/metadata/properties" ma:root="true" ma:fieldsID="7a8ec7d77208328906b76a04f71f0c55" ns2:_="" ns3:_="" ns4:_="">
    <xsd:import namespace="b7c6eafc-7d12-41dd-9be1-0a94e4190535"/>
    <xsd:import namespace="a4ddeba7-b704-4ecc-adcd-5e003fb65ef3"/>
    <xsd:import namespace="6e83e254-8e92-469a-92ff-1764cfa243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c6eafc-7d12-41dd-9be1-0a94e41905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deba7-b704-4ecc-adcd-5e003fb65ef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3e254-8e92-469a-92ff-1764cfa2436f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69794e42-65c8-4d51-b281-04e80a2b6c05}" ma:internalName="TaxCatchAll" ma:showField="CatchAllData" ma:web="6e83e254-8e92-469a-92ff-1764cfa243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BAC581-7DFB-402F-A705-F3B010B3850C}">
  <ds:schemaRefs>
    <ds:schemaRef ds:uri="http://schemas.microsoft.com/office/2006/metadata/properties"/>
    <ds:schemaRef ds:uri="http://schemas.microsoft.com/office/infopath/2007/PartnerControls"/>
    <ds:schemaRef ds:uri="6e83e254-8e92-469a-92ff-1764cfa2436f"/>
  </ds:schemaRefs>
</ds:datastoreItem>
</file>

<file path=customXml/itemProps2.xml><?xml version="1.0" encoding="utf-8"?>
<ds:datastoreItem xmlns:ds="http://schemas.openxmlformats.org/officeDocument/2006/customXml" ds:itemID="{A6434F02-F7F6-4245-BA7E-1C81C18AEB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D9F977-ACB2-41CD-BB5F-D5AE6143BC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c6eafc-7d12-41dd-9be1-0a94e4190535"/>
    <ds:schemaRef ds:uri="a4ddeba7-b704-4ecc-adcd-5e003fb65ef3"/>
    <ds:schemaRef ds:uri="6e83e254-8e92-469a-92ff-1764cfa243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f94ec86-1971-49f7-9cf6-852f05b3fa8c}" enabled="1" method="Privileged" siteId="{5c5456f4-c402-40c5-a73d-e78777e7bf9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Planilla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Zevallos Correa</dc:creator>
  <cp:lastModifiedBy>Yoly Cuba</cp:lastModifiedBy>
  <dcterms:created xsi:type="dcterms:W3CDTF">2025-12-02T21:40:06Z</dcterms:created>
  <dcterms:modified xsi:type="dcterms:W3CDTF">2025-12-03T15:26:11Z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0x010100114DD192BD246E4C8CF546502EE6DB75</vt:lpwstr>
  </property>
</Properties>
</file>