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ricardo_uculmana_metso_com/Documents/Documents/Laboratorio/2. Reportabilidad/REPORTABILIDAD/Contratista minero/"/>
    </mc:Choice>
  </mc:AlternateContent>
  <xr:revisionPtr revIDLastSave="114" documentId="8_{9D9F3CE1-61A6-4C3E-87DA-D37B1450D027}" xr6:coauthVersionLast="47" xr6:coauthVersionMax="47" xr10:uidLastSave="{6AB96DE4-7EBD-4B44-ACC6-F1A496B2CA15}"/>
  <bookViews>
    <workbookView xWindow="-110" yWindow="-110" windowWidth="19420" windowHeight="10300" xr2:uid="{2270844E-FF91-4093-80FE-EC30A448F1E5}"/>
  </bookViews>
  <sheets>
    <sheet name="Planilla" sheetId="1" r:id="rId1"/>
    <sheet name="Pago Dif" sheetId="2" r:id="rId2"/>
    <sheet name="Resumen" sheetId="3" r:id="rId3"/>
  </sheets>
  <definedNames>
    <definedName name="_xlnm._FilterDatabase" localSheetId="1" hidden="1">'Pago Dif'!$A$6:$AX$26</definedName>
    <definedName name="_xlnm._FilterDatabase" localSheetId="0" hidden="1">Planilla!$A$6:$CO$957</definedName>
    <definedName name="_xlnm._FilterDatabase" localSheetId="2" hidden="1">Resumen!$A$6:$H$19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" l="1"/>
  <c r="L31" i="3"/>
  <c r="K33" i="3"/>
  <c r="L33" i="3"/>
  <c r="H28" i="3"/>
  <c r="H26" i="3"/>
  <c r="H19" i="3"/>
  <c r="AW26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7" i="2"/>
  <c r="AX26" i="2" l="1"/>
  <c r="AU31" i="2"/>
  <c r="AU30" i="2"/>
  <c r="AU34" i="2" s="1"/>
  <c r="D30" i="2"/>
  <c r="D34" i="2" s="1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AU31" i="1"/>
  <c r="AU30" i="1"/>
  <c r="AU34" i="1" s="1"/>
  <c r="D30" i="1"/>
  <c r="D34" i="1" s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</calcChain>
</file>

<file path=xl/sharedStrings.xml><?xml version="1.0" encoding="utf-8"?>
<sst xmlns="http://schemas.openxmlformats.org/spreadsheetml/2006/main" count="936" uniqueCount="222">
  <si>
    <t>Reporte de Nómina por Periodo</t>
  </si>
  <si>
    <t>Año: 2025 - Periodo: 10</t>
  </si>
  <si>
    <t>N°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</si>
  <si>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</si>
  <si>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</si>
  <si>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</si>
  <si>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</si>
  <si>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</si>
  <si>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</si>
  <si>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</si>
  <si>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</si>
  <si>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</si>
  <si>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</si>
  <si>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</si>
  <si>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</si>
  <si>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</si>
  <si>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</si>
  <si>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</si>
  <si>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</si>
  <si>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</si>
  <si>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</si>
  <si>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</si>
  <si>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</si>
  <si>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</si>
  <si>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</si>
  <si>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</si>
  <si>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SUELDO BASICO</t>
  </si>
  <si>
    <t>ASIG. FAMILIAR TEORI</t>
  </si>
  <si>
    <t>HABER BASICO</t>
  </si>
  <si>
    <t>ASIGNACION FAMILIAR</t>
  </si>
  <si>
    <t>TOTAL INGRESOS</t>
  </si>
  <si>
    <t>QUINCENA</t>
  </si>
  <si>
    <t>S.N.P.</t>
  </si>
  <si>
    <t>5TA CATEGORIA</t>
  </si>
  <si>
    <t>AFP FONDO PENSIONES</t>
  </si>
  <si>
    <t>AFP COMISION VARIAB.</t>
  </si>
  <si>
    <t>AFP SEGURO INVALIDEZ</t>
  </si>
  <si>
    <t>AFP DESC COMPLE 2%</t>
  </si>
  <si>
    <t>FCJM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</si>
  <si>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</si>
  <si>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</si>
  <si>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</si>
  <si>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</si>
  <si>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</si>
  <si>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</si>
  <si>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</si>
  <si>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</si>
  <si>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</si>
  <si>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</si>
  <si>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44027235</t>
  </si>
  <si>
    <t>460794</t>
  </si>
  <si>
    <t>BERGEL</t>
  </si>
  <si>
    <t>OLIVARES</t>
  </si>
  <si>
    <t>JESUS MANUEL</t>
  </si>
  <si>
    <t>DNI</t>
  </si>
  <si>
    <t>M</t>
  </si>
  <si>
    <t>MECANICO SOLDADOR</t>
  </si>
  <si>
    <t>VULCANO</t>
  </si>
  <si>
    <t>MA SAM FSE &amp; LCS PE</t>
  </si>
  <si>
    <t>PE012224</t>
  </si>
  <si>
    <t>CAAS PEBBLES CHINALCO  OPERACIÓN Y MAN</t>
  </si>
  <si>
    <t>BANCO DE CREDITO DEL PERU S.A</t>
  </si>
  <si>
    <t>BIN</t>
  </si>
  <si>
    <t>00238019204573705342</t>
  </si>
  <si>
    <t>AFP PRIMA</t>
  </si>
  <si>
    <t>607851JBOGV2</t>
  </si>
  <si>
    <t>72129071</t>
  </si>
  <si>
    <t>460858</t>
  </si>
  <si>
    <t>COLLAO</t>
  </si>
  <si>
    <t>BASILIO</t>
  </si>
  <si>
    <t>RONALD DANTE</t>
  </si>
  <si>
    <t>OPERADOR SALA DE CONTROL</t>
  </si>
  <si>
    <t>00228017449076405661</t>
  </si>
  <si>
    <t>AFP INTEGRA</t>
  </si>
  <si>
    <t>641691RCBLI2</t>
  </si>
  <si>
    <t>42838208</t>
  </si>
  <si>
    <t>460799</t>
  </si>
  <si>
    <t>COSTILLA</t>
  </si>
  <si>
    <t>GRADOS</t>
  </si>
  <si>
    <t>FELIX ENRIQUE</t>
  </si>
  <si>
    <t>OPERADOR DE OPERACIONES</t>
  </si>
  <si>
    <t xml:space="preserve">BANCO BBVA PERÚ S.A </t>
  </si>
  <si>
    <t>AHS</t>
  </si>
  <si>
    <t>00110579050236050342</t>
  </si>
  <si>
    <t>301801FCGTD6</t>
  </si>
  <si>
    <t>47849060</t>
  </si>
  <si>
    <t>460797</t>
  </si>
  <si>
    <t>FLORES</t>
  </si>
  <si>
    <t>CARITA</t>
  </si>
  <si>
    <t>EDGAR NOEL</t>
  </si>
  <si>
    <t>00221510024110403628</t>
  </si>
  <si>
    <t>641601EFCRI6</t>
  </si>
  <si>
    <t>40794965</t>
  </si>
  <si>
    <t>460854</t>
  </si>
  <si>
    <t>RUBEN</t>
  </si>
  <si>
    <t>MECANICO ALMACENERO</t>
  </si>
  <si>
    <t>00221510324370106224</t>
  </si>
  <si>
    <t>NO APLICABLE</t>
  </si>
  <si>
    <t>43592610</t>
  </si>
  <si>
    <t>460524</t>
  </si>
  <si>
    <t>GONZALEZ</t>
  </si>
  <si>
    <t>SALVADOR</t>
  </si>
  <si>
    <t>JORGE LUIS</t>
  </si>
  <si>
    <t>SUPERVISOR DE SEGURIDAD</t>
  </si>
  <si>
    <t>00110174020200752691</t>
  </si>
  <si>
    <t>609131JGSZV0</t>
  </si>
  <si>
    <t>72095469</t>
  </si>
  <si>
    <t>460856</t>
  </si>
  <si>
    <t>HURTADO</t>
  </si>
  <si>
    <t>VICENTE</t>
  </si>
  <si>
    <t>EDITH YOVANNA</t>
  </si>
  <si>
    <t>F</t>
  </si>
  <si>
    <t>TECNICO ELECTRICISTA- INSTRUMENTISTA</t>
  </si>
  <si>
    <t>00219113974283107255</t>
  </si>
  <si>
    <t>643690EHVTE9</t>
  </si>
  <si>
    <t>42461272</t>
  </si>
  <si>
    <t>LAVADO</t>
  </si>
  <si>
    <t>RAMOS</t>
  </si>
  <si>
    <t>RAUL</t>
  </si>
  <si>
    <t xml:space="preserve">SUPERVISOR DE OPERACIONES </t>
  </si>
  <si>
    <t>00110057760227478102</t>
  </si>
  <si>
    <t>73053081</t>
  </si>
  <si>
    <t>460795</t>
  </si>
  <si>
    <t>MACHACCA</t>
  </si>
  <si>
    <t>TUNQUIPA</t>
  </si>
  <si>
    <t>MIGUEL GERARDO</t>
  </si>
  <si>
    <t>INGENIERO DE COSTOS Y PLANIFICACIÓN DE LA DEMANDA</t>
  </si>
  <si>
    <t>SCOTIABANK PERU SAA</t>
  </si>
  <si>
    <t>00931020700871557042</t>
  </si>
  <si>
    <t>655831MMTHQ4</t>
  </si>
  <si>
    <t>70762892</t>
  </si>
  <si>
    <t>460855</t>
  </si>
  <si>
    <t>MALCA</t>
  </si>
  <si>
    <t>CARRASCO</t>
  </si>
  <si>
    <t>RICARDO FRANCO</t>
  </si>
  <si>
    <t>00219110955965401455</t>
  </si>
  <si>
    <t>AFP PROFUTURO</t>
  </si>
  <si>
    <t>628811RMCCR7</t>
  </si>
  <si>
    <t>46222342</t>
  </si>
  <si>
    <t>460755</t>
  </si>
  <si>
    <t>MONTERREY</t>
  </si>
  <si>
    <t>LEON</t>
  </si>
  <si>
    <t>JUAN DANIEL</t>
  </si>
  <si>
    <t>BANCO INTERNACIONAL DEL PERU S.A.A - INTERBANK</t>
  </si>
  <si>
    <t>00320001345984091037</t>
  </si>
  <si>
    <t>71902174</t>
  </si>
  <si>
    <t>460648</t>
  </si>
  <si>
    <t>MOORE</t>
  </si>
  <si>
    <t>DURAN</t>
  </si>
  <si>
    <t>KEEN YOU</t>
  </si>
  <si>
    <t>PLANIFICADOR MECANICO ELECTRICO</t>
  </si>
  <si>
    <t>00110579090219244761</t>
  </si>
  <si>
    <t>AFP HABITAT</t>
  </si>
  <si>
    <t>648051KMDRA2</t>
  </si>
  <si>
    <t>45713627</t>
  </si>
  <si>
    <t>446522</t>
  </si>
  <si>
    <t>ROJAS</t>
  </si>
  <si>
    <t>ALVARADO</t>
  </si>
  <si>
    <t>LUIS GUSTAVO</t>
  </si>
  <si>
    <t xml:space="preserve">BANCO INTERAMERICANO DE FINANZAS S.A                                                                </t>
  </si>
  <si>
    <t>03820410801690189149</t>
  </si>
  <si>
    <t>625851LRAAA6</t>
  </si>
  <si>
    <t>73891787</t>
  </si>
  <si>
    <t>460857</t>
  </si>
  <si>
    <t>ROSALES</t>
  </si>
  <si>
    <t>LOBATON</t>
  </si>
  <si>
    <t>ALEX WILLIAM</t>
  </si>
  <si>
    <t>00247019077898309337</t>
  </si>
  <si>
    <t>650251ARLAA2</t>
  </si>
  <si>
    <t>44782782</t>
  </si>
  <si>
    <t>460798</t>
  </si>
  <si>
    <t>SOTO</t>
  </si>
  <si>
    <t>ZAPATA</t>
  </si>
  <si>
    <t>SOLEDAD</t>
  </si>
  <si>
    <t xml:space="preserve">ASISTENTE DE SERVICIOS </t>
  </si>
  <si>
    <t>00219313832733407717</t>
  </si>
  <si>
    <t>321350SSZOA5</t>
  </si>
  <si>
    <t>71134589</t>
  </si>
  <si>
    <t>460800</t>
  </si>
  <si>
    <t>TAYPE</t>
  </si>
  <si>
    <t>MONTAÑEZ</t>
  </si>
  <si>
    <t>JEAN</t>
  </si>
  <si>
    <t>00235510138380702267</t>
  </si>
  <si>
    <t>47209288</t>
  </si>
  <si>
    <t>460793</t>
  </si>
  <si>
    <t>TOPALAYA</t>
  </si>
  <si>
    <t>CARRION</t>
  </si>
  <si>
    <t>CRISTIAN RAUL</t>
  </si>
  <si>
    <t>00110057790246979414</t>
  </si>
  <si>
    <t>636221CTCAR1</t>
  </si>
  <si>
    <t>46181654</t>
  </si>
  <si>
    <t>460646</t>
  </si>
  <si>
    <t>URETA</t>
  </si>
  <si>
    <t>VILLAFUERTE</t>
  </si>
  <si>
    <t>ALEXANDER</t>
  </si>
  <si>
    <t>00219412102402408793</t>
  </si>
  <si>
    <t>628721AUVTL7</t>
  </si>
  <si>
    <t>48240247</t>
  </si>
  <si>
    <t>460792</t>
  </si>
  <si>
    <t>VILA</t>
  </si>
  <si>
    <t>DE LA CRUZ</t>
  </si>
  <si>
    <t>00110321790200951668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</si>
  <si>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</si>
  <si>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</si>
  <si>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</si>
  <si>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</si>
  <si>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</si>
  <si>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</si>
  <si>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</si>
  <si>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</si>
  <si>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</si>
  <si>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</si>
  <si>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</si>
  <si>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</si>
  <si>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</si>
  <si>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2do pago</t>
  </si>
  <si>
    <t>Dif</t>
  </si>
  <si>
    <t>DEPOSITO</t>
  </si>
  <si>
    <t>CANT</t>
  </si>
  <si>
    <t>MONTO</t>
  </si>
  <si>
    <t>OTROS BANCOS</t>
  </si>
  <si>
    <t>BBVA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</si>
</sst>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19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8"/>
      <color indexed="9"/>
      <name val="Calibri"/>
      <family val="2"/>
    </font>
    <font>
      <b/>
      <sz val="8"/>
      <color theme="1"/>
      <name val="Calibri"/>
      <family val="2"/>
    </font>
    <font>
      <b/>
      <u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indexed="56"/>
      <name val="Calibri"/>
      <family val="2"/>
    </font>
    <font>
      <b/>
      <sz val="8"/>
      <color rgb="FFFF0000"/>
      <name val="Calibri"/>
      <family val="2"/>
    </font>
    <font>
      <b/>
      <sz val="8"/>
      <name val="Calibri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4" fontId="5" fillId="0" borderId="1" xfId="0" applyNumberFormat="1" applyFont="1" applyBorder="1"/>
    <xf numFmtId="4" fontId="5" fillId="3" borderId="1" xfId="0" applyNumberFormat="1" applyFont="1" applyFill="1" applyBorder="1"/>
    <xf numFmtId="4" fontId="5" fillId="4" borderId="1" xfId="0" applyNumberFormat="1" applyFont="1" applyFill="1" applyBorder="1"/>
    <xf numFmtId="0" fontId="5" fillId="3" borderId="1" xfId="0" applyFont="1" applyFill="1" applyBorder="1"/>
    <xf numFmtId="0" fontId="5" fillId="4" borderId="2" xfId="0" applyFont="1" applyFill="1" applyBorder="1"/>
    <xf numFmtId="4" fontId="5" fillId="4" borderId="2" xfId="0" applyNumberFormat="1" applyFont="1" applyFill="1" applyBorder="1"/>
    <xf numFmtId="4" fontId="5" fillId="3" borderId="2" xfId="0" applyNumberFormat="1" applyFont="1" applyFill="1" applyBorder="1"/>
    <xf numFmtId="0" fontId="5" fillId="9" borderId="0" xfId="0" applyFont="1" applyFill="1"/>
    <xf numFmtId="49" fontId="9" fillId="6" borderId="6" xfId="0" applyNumberFormat="1" applyFont="1" applyFill="1" applyBorder="1" applyAlignment="1">
      <alignment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vertical="center"/>
    </xf>
    <xf numFmtId="0" fontId="10" fillId="6" borderId="0" xfId="2" applyFont="1" applyFill="1"/>
    <xf numFmtId="0" fontId="11" fillId="6" borderId="0" xfId="2" applyFont="1" applyFill="1"/>
    <xf numFmtId="0" fontId="9" fillId="6" borderId="0" xfId="0" applyFont="1" applyFill="1" applyAlignment="1">
      <alignment horizontal="center"/>
    </xf>
    <xf numFmtId="49" fontId="12" fillId="6" borderId="6" xfId="0" applyNumberFormat="1" applyFont="1" applyFill="1" applyBorder="1" applyAlignment="1">
      <alignment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vertical="center"/>
    </xf>
    <xf numFmtId="0" fontId="13" fillId="6" borderId="8" xfId="2" applyFont="1" applyFill="1" applyBorder="1"/>
    <xf numFmtId="0" fontId="13" fillId="6" borderId="8" xfId="2" applyFont="1" applyFill="1" applyBorder="1" applyAlignment="1">
      <alignment horizontal="center"/>
    </xf>
    <xf numFmtId="164" fontId="13" fillId="6" borderId="8" xfId="3" applyFont="1" applyFill="1" applyBorder="1" applyAlignment="1"/>
    <xf numFmtId="43" fontId="12" fillId="6" borderId="7" xfId="1" applyFont="1" applyFill="1" applyBorder="1" applyAlignment="1">
      <alignment vertical="center"/>
    </xf>
    <xf numFmtId="0" fontId="14" fillId="7" borderId="8" xfId="2" applyFont="1" applyFill="1" applyBorder="1"/>
    <xf numFmtId="0" fontId="13" fillId="7" borderId="8" xfId="2" applyFont="1" applyFill="1" applyBorder="1" applyAlignment="1">
      <alignment horizontal="center"/>
    </xf>
    <xf numFmtId="164" fontId="14" fillId="0" borderId="8" xfId="3" applyFont="1" applyFill="1" applyBorder="1" applyAlignment="1"/>
    <xf numFmtId="43" fontId="14" fillId="0" borderId="8" xfId="4" applyFont="1" applyFill="1" applyBorder="1" applyAlignment="1"/>
    <xf numFmtId="164" fontId="15" fillId="8" borderId="9" xfId="0" applyNumberFormat="1" applyFont="1" applyFill="1" applyBorder="1" applyAlignment="1">
      <alignment vertical="center"/>
    </xf>
    <xf numFmtId="164" fontId="15" fillId="8" borderId="10" xfId="0" applyNumberFormat="1" applyFont="1" applyFill="1" applyBorder="1" applyAlignment="1">
      <alignment vertical="center"/>
    </xf>
    <xf numFmtId="164" fontId="15" fillId="8" borderId="11" xfId="0" applyNumberFormat="1" applyFont="1" applyFill="1" applyBorder="1" applyAlignment="1">
      <alignment vertical="center"/>
    </xf>
    <xf numFmtId="0" fontId="9" fillId="9" borderId="0" xfId="0" applyFont="1" applyFill="1"/>
    <xf numFmtId="164" fontId="13" fillId="6" borderId="12" xfId="3" applyFont="1" applyFill="1" applyBorder="1" applyAlignment="1"/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3" fontId="5" fillId="0" borderId="0" xfId="1" applyFont="1"/>
    <xf numFmtId="43" fontId="5" fillId="0" borderId="0" xfId="0" applyNumberFormat="1" applyFont="1"/>
    <xf numFmtId="43" fontId="5" fillId="10" borderId="0" xfId="0" applyNumberFormat="1" applyFont="1" applyFill="1"/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/>
    </xf>
    <xf numFmtId="14" fontId="5" fillId="10" borderId="1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4" fillId="4" borderId="18" xfId="0" applyFont="1" applyFill="1" applyBorder="1" applyAlignment="1">
      <alignment horizontal="center" vertical="center" wrapText="1"/>
    </xf>
    <xf numFmtId="4" fontId="5" fillId="4" borderId="19" xfId="0" applyNumberFormat="1" applyFont="1" applyFill="1" applyBorder="1"/>
    <xf numFmtId="43" fontId="5" fillId="0" borderId="16" xfId="0" applyNumberFormat="1" applyFont="1" applyBorder="1"/>
    <xf numFmtId="4" fontId="5" fillId="4" borderId="16" xfId="0" applyNumberFormat="1" applyFont="1" applyFill="1" applyBorder="1"/>
    <xf numFmtId="0" fontId="16" fillId="0" borderId="16" xfId="0" applyFont="1" applyBorder="1" applyAlignment="1">
      <alignment horizontal="center"/>
    </xf>
    <xf numFmtId="0" fontId="17" fillId="0" borderId="16" xfId="0" applyFont="1" applyBorder="1"/>
    <xf numFmtId="0" fontId="17" fillId="0" borderId="16" xfId="0" applyFont="1" applyBorder="1" applyAlignment="1">
      <alignment horizontal="center"/>
    </xf>
    <xf numFmtId="4" fontId="17" fillId="0" borderId="16" xfId="0" applyNumberFormat="1" applyFont="1" applyBorder="1"/>
    <xf numFmtId="0" fontId="17" fillId="0" borderId="0" xfId="0" applyFont="1"/>
    <xf numFmtId="0" fontId="18" fillId="0" borderId="0" xfId="0" applyFont="1" applyAlignment="1">
      <alignment horizontal="center"/>
    </xf>
    <xf numFmtId="4" fontId="18" fillId="0" borderId="0" xfId="0" applyNumberFormat="1" applyFont="1"/>
    <xf numFmtId="0" fontId="8" fillId="5" borderId="3" xfId="0" applyFont="1" applyFill="1" applyBorder="1" applyAlignment="1">
      <alignment horizontal="center" vertical="justify" wrapText="1"/>
    </xf>
    <xf numFmtId="0" fontId="8" fillId="5" borderId="4" xfId="0" applyFont="1" applyFill="1" applyBorder="1" applyAlignment="1">
      <alignment horizontal="center" vertical="justify" wrapText="1"/>
    </xf>
    <xf numFmtId="0" fontId="8" fillId="5" borderId="5" xfId="0" applyFont="1" applyFill="1" applyBorder="1" applyAlignment="1">
      <alignment horizontal="center" vertical="justify" wrapText="1"/>
    </xf>
    <xf numFmtId="0" fontId="5" fillId="4" borderId="13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</cellXfs>
  <cellStyles count="5">
    <cellStyle name="Millares" xfId="1" builtinId="3"/>
    <cellStyle name="Millares 4" xfId="3" xr:uid="{9BF8F598-9521-4468-8F50-B2147B1FEA01}"/>
    <cellStyle name="Millares 5" xfId="4" xr:uid="{6DACFEBB-EEA3-47C3-AA88-EAE70B27B23C}"/>
    <cellStyle name="Normal" xfId="0" builtinId="0"/>
    <cellStyle name="Normal 2" xfId="2" xr:uid="{FB0B6D86-4294-418F-8314-24B8DA2D3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5020-8814-477B-9473-D73B241D1C60}">
  <dimension ref="A3:AU34"/>
  <sheetViews>
    <sheetView tabSelected="1" workbookViewId="0">
      <pane xSplit="8" ySplit="6" topLeftCell="AN7" activePane="bottomRight" state="frozen"/>
      <selection pane="topRight" activeCell="I1" sqref="I1"/>
      <selection pane="bottomLeft" activeCell="A7" sqref="A7"/>
      <selection pane="bottomRight" activeCell="AU6" sqref="AU6"/>
    </sheetView>
  </sheetViews>
  <sheetFormatPr baseColWidth="10" defaultColWidth="9.08984375" defaultRowHeight="10.5" x14ac:dyDescent="0.25"/>
  <cols>
    <col min="1" max="1" width="3.90625" style="2" customWidth="1"/>
    <col min="2" max="2" width="10.36328125" style="2" customWidth="1"/>
    <col min="3" max="3" width="11" style="2" customWidth="1"/>
    <col min="4" max="4" width="12.81640625" style="2" bestFit="1" customWidth="1"/>
    <col min="5" max="5" width="13.1796875" style="2" bestFit="1" customWidth="1"/>
    <col min="6" max="6" width="12" style="2" customWidth="1"/>
    <col min="7" max="7" width="9.90625" style="40" customWidth="1"/>
    <col min="8" max="8" width="10.36328125" style="40" customWidth="1"/>
    <col min="9" max="9" width="5.81640625" style="40" customWidth="1"/>
    <col min="10" max="10" width="10" style="40" bestFit="1" customWidth="1"/>
    <col min="11" max="11" width="34.36328125" style="2" customWidth="1"/>
    <col min="12" max="12" width="10.36328125" style="40" customWidth="1"/>
    <col min="13" max="13" width="13.54296875" style="40" bestFit="1" customWidth="1"/>
    <col min="14" max="14" width="11.81640625" style="40" customWidth="1"/>
    <col min="15" max="15" width="27.81640625" style="2" bestFit="1" customWidth="1"/>
    <col min="16" max="16" width="32.6328125" style="2" customWidth="1"/>
    <col min="17" max="17" width="7.54296875" style="40" customWidth="1"/>
    <col min="18" max="18" width="19.1796875" style="40" customWidth="1"/>
    <col min="19" max="19" width="14.08984375" style="2" customWidth="1"/>
    <col min="20" max="20" width="11.1796875" style="2" bestFit="1" customWidth="1"/>
    <col min="21" max="21" width="11.36328125" style="40" customWidth="1"/>
    <col min="22" max="22" width="11" style="2" customWidth="1"/>
    <col min="23" max="23" width="10.1796875" style="2" customWidth="1"/>
    <col min="24" max="24" width="11.36328125" style="2" customWidth="1"/>
    <col min="25" max="25" width="10.90625" style="2" customWidth="1"/>
    <col min="26" max="26" width="12.54296875" style="2" customWidth="1"/>
    <col min="27" max="28" width="12.1796875" style="2" customWidth="1"/>
    <col min="29" max="29" width="11" style="2" bestFit="1" customWidth="1"/>
    <col min="30" max="30" width="11.453125" style="2" customWidth="1"/>
    <col min="31" max="31" width="7" style="2" customWidth="1"/>
    <col min="32" max="32" width="11" style="2" customWidth="1"/>
    <col min="33" max="33" width="13.54296875" style="2" customWidth="1"/>
    <col min="34" max="34" width="12.1796875" style="2" customWidth="1"/>
    <col min="35" max="35" width="11.90625" style="2" customWidth="1"/>
    <col min="36" max="36" width="10.81640625" style="2" customWidth="1"/>
    <col min="37" max="37" width="8.453125" style="2" customWidth="1"/>
    <col min="38" max="38" width="11.6328125" style="2" customWidth="1"/>
    <col min="39" max="39" width="9.6328125" style="2" customWidth="1"/>
    <col min="40" max="40" width="8.90625" style="2" customWidth="1"/>
    <col min="41" max="42" width="10.90625" style="2" customWidth="1"/>
    <col min="43" max="43" width="8.08984375" style="2" customWidth="1"/>
    <col min="44" max="44" width="10.08984375" style="2" customWidth="1"/>
    <col min="45" max="45" width="10" style="2" customWidth="1"/>
    <col min="46" max="46" width="13.08984375" style="2" customWidth="1"/>
    <col min="47" max="47" width="10" style="2" bestFit="1" customWidth="1"/>
    <col min="48" max="16384" width="9.08984375" style="2"/>
  </cols>
  <sheetData>
    <row r="3" spans="1:47" x14ac:dyDescent="0.25">
      <c r="A3" s="1" t="s">
        <v>0</v>
      </c>
    </row>
    <row r="4" spans="1:47" x14ac:dyDescent="0.25">
      <c r="A4" s="1" t="s">
        <v>1</v>
      </c>
    </row>
    <row r="6" spans="1:47" s="39" customFormat="1" ht="21" x14ac:dyDescent="0.35">
      <c r="A6" s="35" t="s">
        <v>2</v>
      </c>
      <c r="B6" s="36" t="s">
        <v>3</v>
      </c>
      <c r="C6" s="36" t="s">
        <v>4</v>
      </c>
      <c r="D6" s="36" t="s">
        <v>5</v>
      </c>
      <c r="E6" s="36" t="s">
        <v>6</v>
      </c>
      <c r="F6" s="36" t="s">
        <v>7</v>
      </c>
      <c r="G6" s="36" t="s">
        <v>8</v>
      </c>
      <c r="H6" s="36" t="s">
        <v>9</v>
      </c>
      <c r="I6" s="36" t="s">
        <v>10</v>
      </c>
      <c r="J6" s="36" t="s">
        <v>11</v>
      </c>
      <c r="K6" s="36" t="s">
        <v>12</v>
      </c>
      <c r="L6" s="36" t="s">
        <v>13</v>
      </c>
      <c r="M6" s="36" t="s">
        <v>14</v>
      </c>
      <c r="N6" s="36" t="s">
        <v>15</v>
      </c>
      <c r="O6" s="36" t="s">
        <v>16</v>
      </c>
      <c r="P6" s="36" t="s">
        <v>17</v>
      </c>
      <c r="Q6" s="36" t="s">
        <v>18</v>
      </c>
      <c r="R6" s="36" t="s">
        <v>19</v>
      </c>
      <c r="S6" s="36" t="s">
        <v>20</v>
      </c>
      <c r="T6" s="36" t="s">
        <v>21</v>
      </c>
      <c r="U6" s="36" t="s">
        <v>22</v>
      </c>
      <c r="V6" s="36" t="s">
        <v>23</v>
      </c>
      <c r="W6" s="36" t="s">
        <v>24</v>
      </c>
      <c r="X6" s="36" t="s">
        <v>25</v>
      </c>
      <c r="Y6" s="37" t="s">
        <v>26</v>
      </c>
      <c r="Z6" s="37" t="s">
        <v>27</v>
      </c>
      <c r="AA6" s="36" t="s">
        <v>28</v>
      </c>
      <c r="AB6" s="36" t="s">
        <v>29</v>
      </c>
      <c r="AC6" s="38" t="s">
        <v>30</v>
      </c>
      <c r="AD6" s="36" t="s">
        <v>31</v>
      </c>
      <c r="AE6" s="36" t="s">
        <v>32</v>
      </c>
      <c r="AF6" s="36" t="s">
        <v>33</v>
      </c>
      <c r="AG6" s="36" t="s">
        <v>34</v>
      </c>
      <c r="AH6" s="36" t="s">
        <v>35</v>
      </c>
      <c r="AI6" s="36" t="s">
        <v>36</v>
      </c>
      <c r="AJ6" s="36" t="s">
        <v>37</v>
      </c>
      <c r="AK6" s="36" t="s">
        <v>38</v>
      </c>
      <c r="AL6" s="38" t="s">
        <v>39</v>
      </c>
      <c r="AM6" s="36" t="s">
        <v>40</v>
      </c>
      <c r="AN6" s="36" t="s">
        <v>41</v>
      </c>
      <c r="AO6" s="36" t="s">
        <v>42</v>
      </c>
      <c r="AP6" s="36" t="s">
        <v>43</v>
      </c>
      <c r="AQ6" s="36" t="s">
        <v>44</v>
      </c>
      <c r="AR6" s="36" t="s">
        <v>45</v>
      </c>
      <c r="AS6" s="36" t="s">
        <v>46</v>
      </c>
      <c r="AT6" s="38" t="s">
        <v>47</v>
      </c>
      <c r="AU6" s="38" t="s">
        <v>48</v>
      </c>
    </row>
    <row r="7" spans="1:47" x14ac:dyDescent="0.25">
      <c r="A7" s="34">
        <v>1</v>
      </c>
      <c r="B7" s="34" t="s">
        <v>49</v>
      </c>
      <c r="C7" s="34" t="s">
        <v>50</v>
      </c>
      <c r="D7" s="3" t="s">
        <v>51</v>
      </c>
      <c r="E7" s="3" t="s">
        <v>52</v>
      </c>
      <c r="F7" s="3" t="s">
        <v>53</v>
      </c>
      <c r="G7" s="34" t="s">
        <v>54</v>
      </c>
      <c r="H7" s="34" t="s">
        <v>49</v>
      </c>
      <c r="I7" s="34" t="s">
        <v>55</v>
      </c>
      <c r="J7" s="42">
        <v>30787</v>
      </c>
      <c r="K7" s="3" t="s">
        <v>56</v>
      </c>
      <c r="L7" s="34" t="s">
        <v>57</v>
      </c>
      <c r="M7" s="34" t="s">
        <v>58</v>
      </c>
      <c r="N7" s="34" t="s">
        <v>59</v>
      </c>
      <c r="O7" s="3" t="s">
        <v>60</v>
      </c>
      <c r="P7" s="3" t="s">
        <v>61</v>
      </c>
      <c r="Q7" s="34" t="s">
        <v>62</v>
      </c>
      <c r="R7" s="34" t="s">
        <v>63</v>
      </c>
      <c r="S7" s="3" t="s">
        <v>64</v>
      </c>
      <c r="T7" s="3" t="s">
        <v>65</v>
      </c>
      <c r="U7" s="42">
        <v>45957</v>
      </c>
      <c r="V7" s="3"/>
      <c r="W7" s="3"/>
      <c r="X7" s="4">
        <v>4</v>
      </c>
      <c r="Y7" s="5">
        <v>3400</v>
      </c>
      <c r="Z7" s="5">
        <v>141.25</v>
      </c>
      <c r="AA7" s="4">
        <v>453.33</v>
      </c>
      <c r="AB7" s="4">
        <v>141.25</v>
      </c>
      <c r="AC7" s="6">
        <v>594.58000000000004</v>
      </c>
      <c r="AD7" s="3"/>
      <c r="AE7" s="3"/>
      <c r="AF7" s="4">
        <v>316.73</v>
      </c>
      <c r="AG7" s="4">
        <v>59.46</v>
      </c>
      <c r="AH7" s="3"/>
      <c r="AI7" s="4">
        <v>8.15</v>
      </c>
      <c r="AJ7" s="4">
        <v>11.89</v>
      </c>
      <c r="AK7" s="4">
        <v>2.97</v>
      </c>
      <c r="AL7" s="6">
        <v>399.2</v>
      </c>
      <c r="AM7" s="4">
        <v>101.7</v>
      </c>
      <c r="AN7" s="3"/>
      <c r="AO7" s="4">
        <v>4.16</v>
      </c>
      <c r="AP7" s="4">
        <v>2.97</v>
      </c>
      <c r="AQ7" s="4">
        <v>4.46</v>
      </c>
      <c r="AR7" s="4">
        <v>1.01</v>
      </c>
      <c r="AS7" s="4">
        <v>11.89</v>
      </c>
      <c r="AT7" s="6">
        <v>126.19</v>
      </c>
      <c r="AU7" s="6">
        <v>195.38</v>
      </c>
    </row>
    <row r="8" spans="1:47" x14ac:dyDescent="0.25">
      <c r="A8" s="34">
        <v>2</v>
      </c>
      <c r="B8" s="34" t="s">
        <v>66</v>
      </c>
      <c r="C8" s="34" t="s">
        <v>67</v>
      </c>
      <c r="D8" s="3" t="s">
        <v>68</v>
      </c>
      <c r="E8" s="3" t="s">
        <v>69</v>
      </c>
      <c r="F8" s="3" t="s">
        <v>70</v>
      </c>
      <c r="G8" s="34" t="s">
        <v>54</v>
      </c>
      <c r="H8" s="34" t="s">
        <v>66</v>
      </c>
      <c r="I8" s="34" t="s">
        <v>55</v>
      </c>
      <c r="J8" s="42">
        <v>34171</v>
      </c>
      <c r="K8" s="3" t="s">
        <v>71</v>
      </c>
      <c r="L8" s="34" t="s">
        <v>57</v>
      </c>
      <c r="M8" s="34" t="s">
        <v>58</v>
      </c>
      <c r="N8" s="34" t="s">
        <v>59</v>
      </c>
      <c r="O8" s="3" t="s">
        <v>60</v>
      </c>
      <c r="P8" s="3" t="s">
        <v>61</v>
      </c>
      <c r="Q8" s="34" t="s">
        <v>62</v>
      </c>
      <c r="R8" s="34" t="s">
        <v>72</v>
      </c>
      <c r="S8" s="3" t="s">
        <v>73</v>
      </c>
      <c r="T8" s="3" t="s">
        <v>74</v>
      </c>
      <c r="U8" s="42">
        <v>45957</v>
      </c>
      <c r="V8" s="3"/>
      <c r="W8" s="3"/>
      <c r="X8" s="4">
        <v>4</v>
      </c>
      <c r="Y8" s="5">
        <v>3450</v>
      </c>
      <c r="Z8" s="7"/>
      <c r="AA8" s="4">
        <v>460</v>
      </c>
      <c r="AB8" s="3"/>
      <c r="AC8" s="6">
        <v>460</v>
      </c>
      <c r="AD8" s="3"/>
      <c r="AE8" s="3"/>
      <c r="AF8" s="3"/>
      <c r="AG8" s="4">
        <v>46</v>
      </c>
      <c r="AH8" s="3"/>
      <c r="AI8" s="4">
        <v>6.3</v>
      </c>
      <c r="AJ8" s="4">
        <v>9.1999999999999993</v>
      </c>
      <c r="AK8" s="4">
        <v>2.2999999999999998</v>
      </c>
      <c r="AL8" s="6">
        <v>63.8</v>
      </c>
      <c r="AM8" s="4">
        <v>101.7</v>
      </c>
      <c r="AN8" s="3"/>
      <c r="AO8" s="4">
        <v>3.22</v>
      </c>
      <c r="AP8" s="4">
        <v>2.2999999999999998</v>
      </c>
      <c r="AQ8" s="4">
        <v>3.45</v>
      </c>
      <c r="AR8" s="4">
        <v>0.51</v>
      </c>
      <c r="AS8" s="4">
        <v>9.1999999999999993</v>
      </c>
      <c r="AT8" s="6">
        <v>120.38</v>
      </c>
      <c r="AU8" s="6">
        <v>396.2</v>
      </c>
    </row>
    <row r="9" spans="1:47" x14ac:dyDescent="0.25">
      <c r="A9" s="34">
        <v>3</v>
      </c>
      <c r="B9" s="34" t="s">
        <v>75</v>
      </c>
      <c r="C9" s="34" t="s">
        <v>76</v>
      </c>
      <c r="D9" s="3" t="s">
        <v>77</v>
      </c>
      <c r="E9" s="3" t="s">
        <v>78</v>
      </c>
      <c r="F9" s="3" t="s">
        <v>79</v>
      </c>
      <c r="G9" s="34" t="s">
        <v>54</v>
      </c>
      <c r="H9" s="34" t="s">
        <v>75</v>
      </c>
      <c r="I9" s="34" t="s">
        <v>55</v>
      </c>
      <c r="J9" s="42">
        <v>30182</v>
      </c>
      <c r="K9" s="3" t="s">
        <v>80</v>
      </c>
      <c r="L9" s="34" t="s">
        <v>57</v>
      </c>
      <c r="M9" s="34" t="s">
        <v>58</v>
      </c>
      <c r="N9" s="34" t="s">
        <v>59</v>
      </c>
      <c r="O9" s="3" t="s">
        <v>60</v>
      </c>
      <c r="P9" s="3" t="s">
        <v>81</v>
      </c>
      <c r="Q9" s="34" t="s">
        <v>82</v>
      </c>
      <c r="R9" s="34" t="s">
        <v>83</v>
      </c>
      <c r="S9" s="3" t="s">
        <v>64</v>
      </c>
      <c r="T9" s="3" t="s">
        <v>84</v>
      </c>
      <c r="U9" s="42">
        <v>45957</v>
      </c>
      <c r="V9" s="3"/>
      <c r="W9" s="3"/>
      <c r="X9" s="4">
        <v>4</v>
      </c>
      <c r="Y9" s="5">
        <v>3450</v>
      </c>
      <c r="Z9" s="5">
        <v>141.25</v>
      </c>
      <c r="AA9" s="4">
        <v>460</v>
      </c>
      <c r="AB9" s="4">
        <v>141.25</v>
      </c>
      <c r="AC9" s="6">
        <v>601.25</v>
      </c>
      <c r="AD9" s="3"/>
      <c r="AE9" s="3"/>
      <c r="AF9" s="3"/>
      <c r="AG9" s="4">
        <v>60.13</v>
      </c>
      <c r="AH9" s="3"/>
      <c r="AI9" s="4">
        <v>8.24</v>
      </c>
      <c r="AJ9" s="4">
        <v>12.03</v>
      </c>
      <c r="AK9" s="4">
        <v>3.01</v>
      </c>
      <c r="AL9" s="6">
        <v>83.41</v>
      </c>
      <c r="AM9" s="4">
        <v>101.7</v>
      </c>
      <c r="AN9" s="3"/>
      <c r="AO9" s="4">
        <v>4.21</v>
      </c>
      <c r="AP9" s="4">
        <v>3.01</v>
      </c>
      <c r="AQ9" s="4">
        <v>4.51</v>
      </c>
      <c r="AR9" s="4">
        <v>1.02</v>
      </c>
      <c r="AS9" s="4">
        <v>12.03</v>
      </c>
      <c r="AT9" s="6">
        <v>126.48</v>
      </c>
      <c r="AU9" s="6">
        <v>517.84</v>
      </c>
    </row>
    <row r="10" spans="1:47" x14ac:dyDescent="0.25">
      <c r="A10" s="34">
        <v>4</v>
      </c>
      <c r="B10" s="34" t="s">
        <v>85</v>
      </c>
      <c r="C10" s="34" t="s">
        <v>86</v>
      </c>
      <c r="D10" s="3" t="s">
        <v>87</v>
      </c>
      <c r="E10" s="3" t="s">
        <v>88</v>
      </c>
      <c r="F10" s="3" t="s">
        <v>89</v>
      </c>
      <c r="G10" s="34" t="s">
        <v>54</v>
      </c>
      <c r="H10" s="34" t="s">
        <v>85</v>
      </c>
      <c r="I10" s="34" t="s">
        <v>55</v>
      </c>
      <c r="J10" s="42">
        <v>34162</v>
      </c>
      <c r="K10" s="3" t="s">
        <v>80</v>
      </c>
      <c r="L10" s="34" t="s">
        <v>57</v>
      </c>
      <c r="M10" s="34" t="s">
        <v>58</v>
      </c>
      <c r="N10" s="34" t="s">
        <v>59</v>
      </c>
      <c r="O10" s="3" t="s">
        <v>60</v>
      </c>
      <c r="P10" s="3" t="s">
        <v>61</v>
      </c>
      <c r="Q10" s="34" t="s">
        <v>62</v>
      </c>
      <c r="R10" s="34" t="s">
        <v>90</v>
      </c>
      <c r="S10" s="3" t="s">
        <v>73</v>
      </c>
      <c r="T10" s="3" t="s">
        <v>91</v>
      </c>
      <c r="U10" s="42">
        <v>45957</v>
      </c>
      <c r="V10" s="3"/>
      <c r="W10" s="3"/>
      <c r="X10" s="4">
        <v>4</v>
      </c>
      <c r="Y10" s="5">
        <v>3450</v>
      </c>
      <c r="Z10" s="5">
        <v>141.25</v>
      </c>
      <c r="AA10" s="4">
        <v>460</v>
      </c>
      <c r="AB10" s="4">
        <v>141.25</v>
      </c>
      <c r="AC10" s="6">
        <v>601.25</v>
      </c>
      <c r="AD10" s="3"/>
      <c r="AE10" s="3"/>
      <c r="AF10" s="3"/>
      <c r="AG10" s="4">
        <v>60.13</v>
      </c>
      <c r="AH10" s="3"/>
      <c r="AI10" s="4">
        <v>8.24</v>
      </c>
      <c r="AJ10" s="4">
        <v>12.03</v>
      </c>
      <c r="AK10" s="4">
        <v>3.01</v>
      </c>
      <c r="AL10" s="6">
        <v>83.41</v>
      </c>
      <c r="AM10" s="4">
        <v>101.7</v>
      </c>
      <c r="AN10" s="3"/>
      <c r="AO10" s="4">
        <v>4.21</v>
      </c>
      <c r="AP10" s="4">
        <v>3.01</v>
      </c>
      <c r="AQ10" s="4">
        <v>4.51</v>
      </c>
      <c r="AR10" s="4">
        <v>0.66</v>
      </c>
      <c r="AS10" s="4">
        <v>12.03</v>
      </c>
      <c r="AT10" s="6">
        <v>126.12</v>
      </c>
      <c r="AU10" s="6">
        <v>517.84</v>
      </c>
    </row>
    <row r="11" spans="1:47" x14ac:dyDescent="0.25">
      <c r="A11" s="34">
        <v>5</v>
      </c>
      <c r="B11" s="34" t="s">
        <v>92</v>
      </c>
      <c r="C11" s="34" t="s">
        <v>93</v>
      </c>
      <c r="D11" s="3" t="s">
        <v>87</v>
      </c>
      <c r="E11" s="3" t="s">
        <v>87</v>
      </c>
      <c r="F11" s="3" t="s">
        <v>94</v>
      </c>
      <c r="G11" s="34" t="s">
        <v>54</v>
      </c>
      <c r="H11" s="34" t="s">
        <v>92</v>
      </c>
      <c r="I11" s="34" t="s">
        <v>55</v>
      </c>
      <c r="J11" s="42">
        <v>29347</v>
      </c>
      <c r="K11" s="3" t="s">
        <v>95</v>
      </c>
      <c r="L11" s="34" t="s">
        <v>57</v>
      </c>
      <c r="M11" s="34" t="s">
        <v>58</v>
      </c>
      <c r="N11" s="34" t="s">
        <v>59</v>
      </c>
      <c r="O11" s="3" t="s">
        <v>60</v>
      </c>
      <c r="P11" s="3" t="s">
        <v>61</v>
      </c>
      <c r="Q11" s="34" t="s">
        <v>62</v>
      </c>
      <c r="R11" s="34" t="s">
        <v>96</v>
      </c>
      <c r="S11" s="3" t="s">
        <v>97</v>
      </c>
      <c r="T11" s="3"/>
      <c r="U11" s="42">
        <v>45957</v>
      </c>
      <c r="V11" s="3"/>
      <c r="W11" s="3"/>
      <c r="X11" s="4">
        <v>4</v>
      </c>
      <c r="Y11" s="5">
        <v>3500</v>
      </c>
      <c r="Z11" s="5">
        <v>141.25</v>
      </c>
      <c r="AA11" s="4">
        <v>466.67</v>
      </c>
      <c r="AB11" s="4">
        <v>141.25</v>
      </c>
      <c r="AC11" s="6">
        <v>607.91999999999996</v>
      </c>
      <c r="AD11" s="3"/>
      <c r="AE11" s="4">
        <v>79.03</v>
      </c>
      <c r="AF11" s="3"/>
      <c r="AG11" s="3"/>
      <c r="AH11" s="3"/>
      <c r="AI11" s="3"/>
      <c r="AJ11" s="3"/>
      <c r="AK11" s="4">
        <v>3.04</v>
      </c>
      <c r="AL11" s="6">
        <v>82.07</v>
      </c>
      <c r="AM11" s="4">
        <v>101.7</v>
      </c>
      <c r="AN11" s="3"/>
      <c r="AO11" s="4">
        <v>4.26</v>
      </c>
      <c r="AP11" s="4">
        <v>3.04</v>
      </c>
      <c r="AQ11" s="4">
        <v>4.5599999999999996</v>
      </c>
      <c r="AR11" s="4">
        <v>1.03</v>
      </c>
      <c r="AS11" s="3"/>
      <c r="AT11" s="6">
        <v>114.59</v>
      </c>
      <c r="AU11" s="6">
        <v>525.85</v>
      </c>
    </row>
    <row r="12" spans="1:47" x14ac:dyDescent="0.25">
      <c r="A12" s="34">
        <v>6</v>
      </c>
      <c r="B12" s="34" t="s">
        <v>98</v>
      </c>
      <c r="C12" s="34" t="s">
        <v>99</v>
      </c>
      <c r="D12" s="3" t="s">
        <v>100</v>
      </c>
      <c r="E12" s="3" t="s">
        <v>101</v>
      </c>
      <c r="F12" s="3" t="s">
        <v>102</v>
      </c>
      <c r="G12" s="34" t="s">
        <v>54</v>
      </c>
      <c r="H12" s="34" t="s">
        <v>98</v>
      </c>
      <c r="I12" s="34" t="s">
        <v>55</v>
      </c>
      <c r="J12" s="42">
        <v>30915</v>
      </c>
      <c r="K12" s="3" t="s">
        <v>103</v>
      </c>
      <c r="L12" s="34" t="s">
        <v>57</v>
      </c>
      <c r="M12" s="34" t="s">
        <v>58</v>
      </c>
      <c r="N12" s="34" t="s">
        <v>59</v>
      </c>
      <c r="O12" s="3" t="s">
        <v>60</v>
      </c>
      <c r="P12" s="3" t="s">
        <v>81</v>
      </c>
      <c r="Q12" s="34" t="s">
        <v>82</v>
      </c>
      <c r="R12" s="34" t="s">
        <v>104</v>
      </c>
      <c r="S12" s="3" t="s">
        <v>64</v>
      </c>
      <c r="T12" s="3" t="s">
        <v>105</v>
      </c>
      <c r="U12" s="42">
        <v>45936</v>
      </c>
      <c r="V12" s="3"/>
      <c r="W12" s="3"/>
      <c r="X12" s="4">
        <v>25</v>
      </c>
      <c r="Y12" s="5">
        <v>6500</v>
      </c>
      <c r="Z12" s="7"/>
      <c r="AA12" s="4">
        <v>5416.67</v>
      </c>
      <c r="AB12" s="3"/>
      <c r="AC12" s="6">
        <v>5416.67</v>
      </c>
      <c r="AD12" s="4">
        <v>2166.67</v>
      </c>
      <c r="AE12" s="3"/>
      <c r="AF12" s="4">
        <v>202.25</v>
      </c>
      <c r="AG12" s="4">
        <v>541.66999999999996</v>
      </c>
      <c r="AH12" s="3"/>
      <c r="AI12" s="4">
        <v>74.209999999999994</v>
      </c>
      <c r="AJ12" s="4">
        <v>108.33</v>
      </c>
      <c r="AK12" s="4">
        <v>27.08</v>
      </c>
      <c r="AL12" s="6">
        <v>3120.21</v>
      </c>
      <c r="AM12" s="4">
        <v>487.5</v>
      </c>
      <c r="AN12" s="3"/>
      <c r="AO12" s="4">
        <v>37.92</v>
      </c>
      <c r="AP12" s="4">
        <v>27.08</v>
      </c>
      <c r="AQ12" s="4">
        <v>40.630000000000003</v>
      </c>
      <c r="AR12" s="4">
        <v>9.2100000000000009</v>
      </c>
      <c r="AS12" s="4">
        <v>108.33</v>
      </c>
      <c r="AT12" s="6">
        <v>710.67</v>
      </c>
      <c r="AU12" s="6">
        <v>2296.46</v>
      </c>
    </row>
    <row r="13" spans="1:47" x14ac:dyDescent="0.25">
      <c r="A13" s="34">
        <v>7</v>
      </c>
      <c r="B13" s="34" t="s">
        <v>106</v>
      </c>
      <c r="C13" s="34" t="s">
        <v>107</v>
      </c>
      <c r="D13" s="3" t="s">
        <v>108</v>
      </c>
      <c r="E13" s="3" t="s">
        <v>109</v>
      </c>
      <c r="F13" s="3" t="s">
        <v>110</v>
      </c>
      <c r="G13" s="34" t="s">
        <v>54</v>
      </c>
      <c r="H13" s="34" t="s">
        <v>106</v>
      </c>
      <c r="I13" s="34" t="s">
        <v>111</v>
      </c>
      <c r="J13" s="42">
        <v>34371</v>
      </c>
      <c r="K13" s="3" t="s">
        <v>112</v>
      </c>
      <c r="L13" s="34" t="s">
        <v>57</v>
      </c>
      <c r="M13" s="34" t="s">
        <v>58</v>
      </c>
      <c r="N13" s="34" t="s">
        <v>59</v>
      </c>
      <c r="O13" s="3" t="s">
        <v>60</v>
      </c>
      <c r="P13" s="3" t="s">
        <v>61</v>
      </c>
      <c r="Q13" s="34" t="s">
        <v>62</v>
      </c>
      <c r="R13" s="34" t="s">
        <v>113</v>
      </c>
      <c r="S13" s="3" t="s">
        <v>73</v>
      </c>
      <c r="T13" s="3" t="s">
        <v>114</v>
      </c>
      <c r="U13" s="42">
        <v>45957</v>
      </c>
      <c r="V13" s="3"/>
      <c r="W13" s="3"/>
      <c r="X13" s="4">
        <v>4</v>
      </c>
      <c r="Y13" s="5">
        <v>3500</v>
      </c>
      <c r="Z13" s="7"/>
      <c r="AA13" s="4">
        <v>466.67</v>
      </c>
      <c r="AB13" s="3"/>
      <c r="AC13" s="6">
        <v>466.67</v>
      </c>
      <c r="AD13" s="3"/>
      <c r="AE13" s="3"/>
      <c r="AF13" s="3"/>
      <c r="AG13" s="4">
        <v>46.67</v>
      </c>
      <c r="AH13" s="3"/>
      <c r="AI13" s="4">
        <v>6.39</v>
      </c>
      <c r="AJ13" s="4">
        <v>9.33</v>
      </c>
      <c r="AK13" s="4">
        <v>2.33</v>
      </c>
      <c r="AL13" s="6">
        <v>64.72</v>
      </c>
      <c r="AM13" s="4">
        <v>42</v>
      </c>
      <c r="AN13" s="3"/>
      <c r="AO13" s="4">
        <v>3.27</v>
      </c>
      <c r="AP13" s="4">
        <v>2.33</v>
      </c>
      <c r="AQ13" s="4">
        <v>3.5</v>
      </c>
      <c r="AR13" s="4">
        <v>0.51</v>
      </c>
      <c r="AS13" s="4">
        <v>9.33</v>
      </c>
      <c r="AT13" s="6">
        <v>60.94</v>
      </c>
      <c r="AU13" s="6">
        <v>401.95</v>
      </c>
    </row>
    <row r="14" spans="1:47" x14ac:dyDescent="0.25">
      <c r="A14" s="34">
        <v>8</v>
      </c>
      <c r="B14" s="34" t="s">
        <v>115</v>
      </c>
      <c r="C14" s="34"/>
      <c r="D14" s="3" t="s">
        <v>116</v>
      </c>
      <c r="E14" s="3" t="s">
        <v>117</v>
      </c>
      <c r="F14" s="3" t="s">
        <v>118</v>
      </c>
      <c r="G14" s="34" t="s">
        <v>54</v>
      </c>
      <c r="H14" s="34" t="s">
        <v>115</v>
      </c>
      <c r="I14" s="34" t="s">
        <v>55</v>
      </c>
      <c r="J14" s="42">
        <v>30782</v>
      </c>
      <c r="K14" s="3" t="s">
        <v>119</v>
      </c>
      <c r="L14" s="34" t="s">
        <v>57</v>
      </c>
      <c r="M14" s="34" t="s">
        <v>58</v>
      </c>
      <c r="N14" s="34" t="s">
        <v>59</v>
      </c>
      <c r="O14" s="3" t="s">
        <v>60</v>
      </c>
      <c r="P14" s="3" t="s">
        <v>81</v>
      </c>
      <c r="Q14" s="34" t="s">
        <v>82</v>
      </c>
      <c r="R14" s="34" t="s">
        <v>120</v>
      </c>
      <c r="S14" s="3" t="s">
        <v>97</v>
      </c>
      <c r="T14" s="3"/>
      <c r="U14" s="42">
        <v>45950</v>
      </c>
      <c r="V14" s="3"/>
      <c r="W14" s="3"/>
      <c r="X14" s="4">
        <v>11</v>
      </c>
      <c r="Y14" s="5">
        <v>6750</v>
      </c>
      <c r="Z14" s="5">
        <v>141.25</v>
      </c>
      <c r="AA14" s="4">
        <v>2475</v>
      </c>
      <c r="AB14" s="4">
        <v>141.25</v>
      </c>
      <c r="AC14" s="6">
        <v>2616.25</v>
      </c>
      <c r="AD14" s="3"/>
      <c r="AE14" s="4">
        <v>340.11</v>
      </c>
      <c r="AF14" s="4">
        <v>705.61</v>
      </c>
      <c r="AG14" s="3"/>
      <c r="AH14" s="3"/>
      <c r="AI14" s="3"/>
      <c r="AJ14" s="3"/>
      <c r="AK14" s="4">
        <v>13.08</v>
      </c>
      <c r="AL14" s="6">
        <v>1058.8</v>
      </c>
      <c r="AM14" s="4">
        <v>176.6</v>
      </c>
      <c r="AN14" s="4">
        <v>58.87</v>
      </c>
      <c r="AO14" s="4">
        <v>18.309999999999999</v>
      </c>
      <c r="AP14" s="4">
        <v>13.08</v>
      </c>
      <c r="AQ14" s="4">
        <v>19.62</v>
      </c>
      <c r="AR14" s="4">
        <v>4.45</v>
      </c>
      <c r="AS14" s="3"/>
      <c r="AT14" s="6">
        <v>290.93</v>
      </c>
      <c r="AU14" s="6">
        <v>1557.45</v>
      </c>
    </row>
    <row r="15" spans="1:47" x14ac:dyDescent="0.25">
      <c r="A15" s="34">
        <v>9</v>
      </c>
      <c r="B15" s="34" t="s">
        <v>121</v>
      </c>
      <c r="C15" s="34" t="s">
        <v>122</v>
      </c>
      <c r="D15" s="3" t="s">
        <v>123</v>
      </c>
      <c r="E15" s="3" t="s">
        <v>124</v>
      </c>
      <c r="F15" s="3" t="s">
        <v>125</v>
      </c>
      <c r="G15" s="34" t="s">
        <v>54</v>
      </c>
      <c r="H15" s="34" t="s">
        <v>121</v>
      </c>
      <c r="I15" s="34" t="s">
        <v>55</v>
      </c>
      <c r="J15" s="42">
        <v>35585</v>
      </c>
      <c r="K15" s="3" t="s">
        <v>126</v>
      </c>
      <c r="L15" s="34" t="s">
        <v>57</v>
      </c>
      <c r="M15" s="34" t="s">
        <v>58</v>
      </c>
      <c r="N15" s="34" t="s">
        <v>59</v>
      </c>
      <c r="O15" s="3" t="s">
        <v>60</v>
      </c>
      <c r="P15" s="3" t="s">
        <v>127</v>
      </c>
      <c r="Q15" s="34" t="s">
        <v>62</v>
      </c>
      <c r="R15" s="34" t="s">
        <v>128</v>
      </c>
      <c r="S15" s="3" t="s">
        <v>73</v>
      </c>
      <c r="T15" s="3" t="s">
        <v>129</v>
      </c>
      <c r="U15" s="42">
        <v>45957</v>
      </c>
      <c r="V15" s="3"/>
      <c r="W15" s="3"/>
      <c r="X15" s="4">
        <v>4</v>
      </c>
      <c r="Y15" s="5">
        <v>6000</v>
      </c>
      <c r="Z15" s="7"/>
      <c r="AA15" s="4">
        <v>800</v>
      </c>
      <c r="AB15" s="3"/>
      <c r="AC15" s="6">
        <v>800</v>
      </c>
      <c r="AD15" s="3"/>
      <c r="AE15" s="3"/>
      <c r="AF15" s="3"/>
      <c r="AG15" s="4">
        <v>80</v>
      </c>
      <c r="AH15" s="3"/>
      <c r="AI15" s="4">
        <v>10.96</v>
      </c>
      <c r="AJ15" s="4">
        <v>16</v>
      </c>
      <c r="AK15" s="4">
        <v>4</v>
      </c>
      <c r="AL15" s="6">
        <v>110.96</v>
      </c>
      <c r="AM15" s="4">
        <v>76.28</v>
      </c>
      <c r="AN15" s="4">
        <v>25.43</v>
      </c>
      <c r="AO15" s="4">
        <v>5.6</v>
      </c>
      <c r="AP15" s="4">
        <v>4</v>
      </c>
      <c r="AQ15" s="4">
        <v>6</v>
      </c>
      <c r="AR15" s="4">
        <v>0.88</v>
      </c>
      <c r="AS15" s="4">
        <v>16</v>
      </c>
      <c r="AT15" s="6">
        <v>134.19</v>
      </c>
      <c r="AU15" s="6">
        <v>689.04</v>
      </c>
    </row>
    <row r="16" spans="1:47" x14ac:dyDescent="0.25">
      <c r="A16" s="34">
        <v>10</v>
      </c>
      <c r="B16" s="34" t="s">
        <v>130</v>
      </c>
      <c r="C16" s="34" t="s">
        <v>131</v>
      </c>
      <c r="D16" s="3" t="s">
        <v>132</v>
      </c>
      <c r="E16" s="3" t="s">
        <v>133</v>
      </c>
      <c r="F16" s="3" t="s">
        <v>134</v>
      </c>
      <c r="G16" s="34" t="s">
        <v>54</v>
      </c>
      <c r="H16" s="34" t="s">
        <v>130</v>
      </c>
      <c r="I16" s="34" t="s">
        <v>55</v>
      </c>
      <c r="J16" s="42">
        <v>32883</v>
      </c>
      <c r="K16" s="3" t="s">
        <v>112</v>
      </c>
      <c r="L16" s="34" t="s">
        <v>57</v>
      </c>
      <c r="M16" s="34" t="s">
        <v>58</v>
      </c>
      <c r="N16" s="34" t="s">
        <v>59</v>
      </c>
      <c r="O16" s="3" t="s">
        <v>60</v>
      </c>
      <c r="P16" s="3" t="s">
        <v>61</v>
      </c>
      <c r="Q16" s="34" t="s">
        <v>62</v>
      </c>
      <c r="R16" s="34" t="s">
        <v>135</v>
      </c>
      <c r="S16" s="3" t="s">
        <v>136</v>
      </c>
      <c r="T16" s="3" t="s">
        <v>137</v>
      </c>
      <c r="U16" s="42">
        <v>45957</v>
      </c>
      <c r="V16" s="3"/>
      <c r="W16" s="3"/>
      <c r="X16" s="4">
        <v>4</v>
      </c>
      <c r="Y16" s="5">
        <v>3500</v>
      </c>
      <c r="Z16" s="5">
        <v>141.25</v>
      </c>
      <c r="AA16" s="4">
        <v>466.67</v>
      </c>
      <c r="AB16" s="4">
        <v>141.25</v>
      </c>
      <c r="AC16" s="6">
        <v>607.91999999999996</v>
      </c>
      <c r="AD16" s="3"/>
      <c r="AE16" s="3"/>
      <c r="AF16" s="3"/>
      <c r="AG16" s="4">
        <v>60.79</v>
      </c>
      <c r="AH16" s="4">
        <v>10.27</v>
      </c>
      <c r="AI16" s="4">
        <v>8.33</v>
      </c>
      <c r="AJ16" s="4">
        <v>12.16</v>
      </c>
      <c r="AK16" s="4">
        <v>3.04</v>
      </c>
      <c r="AL16" s="6">
        <v>94.59</v>
      </c>
      <c r="AM16" s="4">
        <v>101.7</v>
      </c>
      <c r="AN16" s="3"/>
      <c r="AO16" s="4">
        <v>4.26</v>
      </c>
      <c r="AP16" s="4">
        <v>3.04</v>
      </c>
      <c r="AQ16" s="4">
        <v>4.5599999999999996</v>
      </c>
      <c r="AR16" s="4">
        <v>0.67</v>
      </c>
      <c r="AS16" s="4">
        <v>12.16</v>
      </c>
      <c r="AT16" s="6">
        <v>126.39</v>
      </c>
      <c r="AU16" s="6">
        <v>513.33000000000004</v>
      </c>
    </row>
    <row r="17" spans="1:47" x14ac:dyDescent="0.25">
      <c r="A17" s="34">
        <v>11</v>
      </c>
      <c r="B17" s="34" t="s">
        <v>138</v>
      </c>
      <c r="C17" s="34" t="s">
        <v>139</v>
      </c>
      <c r="D17" s="3" t="s">
        <v>140</v>
      </c>
      <c r="E17" s="3" t="s">
        <v>141</v>
      </c>
      <c r="F17" s="3" t="s">
        <v>142</v>
      </c>
      <c r="G17" s="34" t="s">
        <v>54</v>
      </c>
      <c r="H17" s="34" t="s">
        <v>138</v>
      </c>
      <c r="I17" s="34" t="s">
        <v>55</v>
      </c>
      <c r="J17" s="42">
        <v>32866</v>
      </c>
      <c r="K17" s="3" t="s">
        <v>103</v>
      </c>
      <c r="L17" s="34" t="s">
        <v>57</v>
      </c>
      <c r="M17" s="34" t="s">
        <v>58</v>
      </c>
      <c r="N17" s="34" t="s">
        <v>59</v>
      </c>
      <c r="O17" s="3" t="s">
        <v>60</v>
      </c>
      <c r="P17" s="3" t="s">
        <v>143</v>
      </c>
      <c r="Q17" s="34" t="s">
        <v>62</v>
      </c>
      <c r="R17" s="34" t="s">
        <v>144</v>
      </c>
      <c r="S17" s="3" t="s">
        <v>97</v>
      </c>
      <c r="T17" s="3"/>
      <c r="U17" s="42">
        <v>45952</v>
      </c>
      <c r="V17" s="3"/>
      <c r="W17" s="3"/>
      <c r="X17" s="4">
        <v>9</v>
      </c>
      <c r="Y17" s="5">
        <v>6500</v>
      </c>
      <c r="Z17" s="5">
        <v>141.25</v>
      </c>
      <c r="AA17" s="4">
        <v>1950</v>
      </c>
      <c r="AB17" s="4">
        <v>141.25</v>
      </c>
      <c r="AC17" s="6">
        <v>2091.25</v>
      </c>
      <c r="AD17" s="3"/>
      <c r="AE17" s="4">
        <v>271.86</v>
      </c>
      <c r="AF17" s="3"/>
      <c r="AG17" s="3"/>
      <c r="AH17" s="3"/>
      <c r="AI17" s="3"/>
      <c r="AJ17" s="3"/>
      <c r="AK17" s="4">
        <v>10.46</v>
      </c>
      <c r="AL17" s="6">
        <v>282.32</v>
      </c>
      <c r="AM17" s="4">
        <v>141.16</v>
      </c>
      <c r="AN17" s="4">
        <v>47.05</v>
      </c>
      <c r="AO17" s="4">
        <v>14.64</v>
      </c>
      <c r="AP17" s="4">
        <v>10.46</v>
      </c>
      <c r="AQ17" s="4">
        <v>15.68</v>
      </c>
      <c r="AR17" s="4">
        <v>2.2999999999999998</v>
      </c>
      <c r="AS17" s="3"/>
      <c r="AT17" s="6">
        <v>231.29</v>
      </c>
      <c r="AU17" s="6">
        <v>1808.93</v>
      </c>
    </row>
    <row r="18" spans="1:47" x14ac:dyDescent="0.25">
      <c r="A18" s="34">
        <v>12</v>
      </c>
      <c r="B18" s="34" t="s">
        <v>145</v>
      </c>
      <c r="C18" s="34" t="s">
        <v>146</v>
      </c>
      <c r="D18" s="3" t="s">
        <v>147</v>
      </c>
      <c r="E18" s="3" t="s">
        <v>148</v>
      </c>
      <c r="F18" s="3" t="s">
        <v>149</v>
      </c>
      <c r="G18" s="34" t="s">
        <v>54</v>
      </c>
      <c r="H18" s="34" t="s">
        <v>145</v>
      </c>
      <c r="I18" s="34" t="s">
        <v>55</v>
      </c>
      <c r="J18" s="42">
        <v>34807</v>
      </c>
      <c r="K18" s="3" t="s">
        <v>150</v>
      </c>
      <c r="L18" s="34" t="s">
        <v>57</v>
      </c>
      <c r="M18" s="34" t="s">
        <v>58</v>
      </c>
      <c r="N18" s="34" t="s">
        <v>59</v>
      </c>
      <c r="O18" s="3" t="s">
        <v>60</v>
      </c>
      <c r="P18" s="3" t="s">
        <v>81</v>
      </c>
      <c r="Q18" s="34" t="s">
        <v>82</v>
      </c>
      <c r="R18" s="34" t="s">
        <v>151</v>
      </c>
      <c r="S18" s="3" t="s">
        <v>152</v>
      </c>
      <c r="T18" s="3" t="s">
        <v>153</v>
      </c>
      <c r="U18" s="42">
        <v>45950</v>
      </c>
      <c r="V18" s="3"/>
      <c r="W18" s="3"/>
      <c r="X18" s="4">
        <v>11</v>
      </c>
      <c r="Y18" s="5">
        <v>6500</v>
      </c>
      <c r="Z18" s="5">
        <v>141.25</v>
      </c>
      <c r="AA18" s="4">
        <v>2383.33</v>
      </c>
      <c r="AB18" s="4">
        <v>141.25</v>
      </c>
      <c r="AC18" s="6">
        <v>2524.58</v>
      </c>
      <c r="AD18" s="3"/>
      <c r="AE18" s="3"/>
      <c r="AF18" s="3"/>
      <c r="AG18" s="4">
        <v>252.46</v>
      </c>
      <c r="AH18" s="3"/>
      <c r="AI18" s="4">
        <v>34.590000000000003</v>
      </c>
      <c r="AJ18" s="4">
        <v>50.49</v>
      </c>
      <c r="AK18" s="4">
        <v>12.62</v>
      </c>
      <c r="AL18" s="6">
        <v>350.16</v>
      </c>
      <c r="AM18" s="4">
        <v>170.41</v>
      </c>
      <c r="AN18" s="4">
        <v>56.8</v>
      </c>
      <c r="AO18" s="4">
        <v>17.670000000000002</v>
      </c>
      <c r="AP18" s="4">
        <v>12.62</v>
      </c>
      <c r="AQ18" s="4">
        <v>18.93</v>
      </c>
      <c r="AR18" s="4">
        <v>2.78</v>
      </c>
      <c r="AS18" s="4">
        <v>50.49</v>
      </c>
      <c r="AT18" s="6">
        <v>329.7</v>
      </c>
      <c r="AU18" s="6">
        <v>2174.42</v>
      </c>
    </row>
    <row r="19" spans="1:47" x14ac:dyDescent="0.25">
      <c r="A19" s="34">
        <v>13</v>
      </c>
      <c r="B19" s="34" t="s">
        <v>154</v>
      </c>
      <c r="C19" s="34" t="s">
        <v>155</v>
      </c>
      <c r="D19" s="3" t="s">
        <v>156</v>
      </c>
      <c r="E19" s="3" t="s">
        <v>157</v>
      </c>
      <c r="F19" s="3" t="s">
        <v>158</v>
      </c>
      <c r="G19" s="34" t="s">
        <v>54</v>
      </c>
      <c r="H19" s="34" t="s">
        <v>154</v>
      </c>
      <c r="I19" s="34" t="s">
        <v>55</v>
      </c>
      <c r="J19" s="42">
        <v>32587</v>
      </c>
      <c r="K19" s="3" t="s">
        <v>56</v>
      </c>
      <c r="L19" s="34" t="s">
        <v>57</v>
      </c>
      <c r="M19" s="34" t="s">
        <v>58</v>
      </c>
      <c r="N19" s="34" t="s">
        <v>59</v>
      </c>
      <c r="O19" s="3" t="s">
        <v>60</v>
      </c>
      <c r="P19" s="3" t="s">
        <v>159</v>
      </c>
      <c r="Q19" s="34" t="s">
        <v>62</v>
      </c>
      <c r="R19" s="34" t="s">
        <v>160</v>
      </c>
      <c r="S19" s="3" t="s">
        <v>136</v>
      </c>
      <c r="T19" s="3" t="s">
        <v>161</v>
      </c>
      <c r="U19" s="42">
        <v>45957</v>
      </c>
      <c r="V19" s="3"/>
      <c r="W19" s="3"/>
      <c r="X19" s="4">
        <v>4</v>
      </c>
      <c r="Y19" s="5">
        <v>3400</v>
      </c>
      <c r="Z19" s="7"/>
      <c r="AA19" s="4">
        <v>453.33</v>
      </c>
      <c r="AB19" s="3"/>
      <c r="AC19" s="6">
        <v>453.33</v>
      </c>
      <c r="AD19" s="3"/>
      <c r="AE19" s="3"/>
      <c r="AF19" s="4">
        <v>18.989999999999998</v>
      </c>
      <c r="AG19" s="4">
        <v>45.33</v>
      </c>
      <c r="AH19" s="4">
        <v>7.66</v>
      </c>
      <c r="AI19" s="4">
        <v>6.21</v>
      </c>
      <c r="AJ19" s="4">
        <v>9.07</v>
      </c>
      <c r="AK19" s="4">
        <v>2.27</v>
      </c>
      <c r="AL19" s="6">
        <v>89.53</v>
      </c>
      <c r="AM19" s="4">
        <v>40.799999999999997</v>
      </c>
      <c r="AN19" s="3"/>
      <c r="AO19" s="4">
        <v>3.17</v>
      </c>
      <c r="AP19" s="4">
        <v>2.27</v>
      </c>
      <c r="AQ19" s="4">
        <v>3.4</v>
      </c>
      <c r="AR19" s="4">
        <v>0.5</v>
      </c>
      <c r="AS19" s="4">
        <v>9.07</v>
      </c>
      <c r="AT19" s="6">
        <v>59.21</v>
      </c>
      <c r="AU19" s="6">
        <v>363.8</v>
      </c>
    </row>
    <row r="20" spans="1:47" x14ac:dyDescent="0.25">
      <c r="A20" s="34">
        <v>14</v>
      </c>
      <c r="B20" s="34" t="s">
        <v>162</v>
      </c>
      <c r="C20" s="34" t="s">
        <v>163</v>
      </c>
      <c r="D20" s="3" t="s">
        <v>164</v>
      </c>
      <c r="E20" s="3" t="s">
        <v>165</v>
      </c>
      <c r="F20" s="3" t="s">
        <v>166</v>
      </c>
      <c r="G20" s="34" t="s">
        <v>54</v>
      </c>
      <c r="H20" s="34" t="s">
        <v>162</v>
      </c>
      <c r="I20" s="34" t="s">
        <v>55</v>
      </c>
      <c r="J20" s="42">
        <v>35027</v>
      </c>
      <c r="K20" s="3" t="s">
        <v>71</v>
      </c>
      <c r="L20" s="34" t="s">
        <v>57</v>
      </c>
      <c r="M20" s="34" t="s">
        <v>58</v>
      </c>
      <c r="N20" s="34" t="s">
        <v>59</v>
      </c>
      <c r="O20" s="3" t="s">
        <v>60</v>
      </c>
      <c r="P20" s="3" t="s">
        <v>61</v>
      </c>
      <c r="Q20" s="34" t="s">
        <v>62</v>
      </c>
      <c r="R20" s="34" t="s">
        <v>167</v>
      </c>
      <c r="S20" s="3" t="s">
        <v>73</v>
      </c>
      <c r="T20" s="3" t="s">
        <v>168</v>
      </c>
      <c r="U20" s="42">
        <v>45957</v>
      </c>
      <c r="V20" s="3"/>
      <c r="W20" s="3"/>
      <c r="X20" s="4">
        <v>4</v>
      </c>
      <c r="Y20" s="5">
        <v>3450</v>
      </c>
      <c r="Z20" s="7"/>
      <c r="AA20" s="4">
        <v>460</v>
      </c>
      <c r="AB20" s="3"/>
      <c r="AC20" s="6">
        <v>460</v>
      </c>
      <c r="AD20" s="3"/>
      <c r="AE20" s="3"/>
      <c r="AF20" s="3"/>
      <c r="AG20" s="4">
        <v>46</v>
      </c>
      <c r="AH20" s="3"/>
      <c r="AI20" s="4">
        <v>6.3</v>
      </c>
      <c r="AJ20" s="4">
        <v>9.1999999999999993</v>
      </c>
      <c r="AK20" s="4">
        <v>2.2999999999999998</v>
      </c>
      <c r="AL20" s="6">
        <v>63.8</v>
      </c>
      <c r="AM20" s="4">
        <v>101.7</v>
      </c>
      <c r="AN20" s="3"/>
      <c r="AO20" s="4">
        <v>3.22</v>
      </c>
      <c r="AP20" s="4">
        <v>2.2999999999999998</v>
      </c>
      <c r="AQ20" s="4">
        <v>3.45</v>
      </c>
      <c r="AR20" s="4">
        <v>0.51</v>
      </c>
      <c r="AS20" s="4">
        <v>9.1999999999999993</v>
      </c>
      <c r="AT20" s="6">
        <v>120.38</v>
      </c>
      <c r="AU20" s="6">
        <v>396.2</v>
      </c>
    </row>
    <row r="21" spans="1:47" x14ac:dyDescent="0.25">
      <c r="A21" s="34">
        <v>15</v>
      </c>
      <c r="B21" s="34" t="s">
        <v>169</v>
      </c>
      <c r="C21" s="34" t="s">
        <v>170</v>
      </c>
      <c r="D21" s="3" t="s">
        <v>171</v>
      </c>
      <c r="E21" s="3" t="s">
        <v>172</v>
      </c>
      <c r="F21" s="3" t="s">
        <v>173</v>
      </c>
      <c r="G21" s="34" t="s">
        <v>54</v>
      </c>
      <c r="H21" s="34" t="s">
        <v>169</v>
      </c>
      <c r="I21" s="34" t="s">
        <v>111</v>
      </c>
      <c r="J21" s="42">
        <v>32137</v>
      </c>
      <c r="K21" s="3" t="s">
        <v>174</v>
      </c>
      <c r="L21" s="34" t="s">
        <v>57</v>
      </c>
      <c r="M21" s="34" t="s">
        <v>58</v>
      </c>
      <c r="N21" s="34" t="s">
        <v>59</v>
      </c>
      <c r="O21" s="3" t="s">
        <v>60</v>
      </c>
      <c r="P21" s="3" t="s">
        <v>61</v>
      </c>
      <c r="Q21" s="34" t="s">
        <v>62</v>
      </c>
      <c r="R21" s="34" t="s">
        <v>175</v>
      </c>
      <c r="S21" s="3" t="s">
        <v>64</v>
      </c>
      <c r="T21" s="3" t="s">
        <v>176</v>
      </c>
      <c r="U21" s="42">
        <v>45957</v>
      </c>
      <c r="V21" s="3"/>
      <c r="W21" s="3"/>
      <c r="X21" s="4">
        <v>4</v>
      </c>
      <c r="Y21" s="5">
        <v>3200</v>
      </c>
      <c r="Z21" s="7"/>
      <c r="AA21" s="4">
        <v>426.67</v>
      </c>
      <c r="AB21" s="3"/>
      <c r="AC21" s="6">
        <v>426.67</v>
      </c>
      <c r="AD21" s="3"/>
      <c r="AE21" s="3"/>
      <c r="AF21" s="3"/>
      <c r="AG21" s="4">
        <v>42.67</v>
      </c>
      <c r="AH21" s="3"/>
      <c r="AI21" s="4">
        <v>5.85</v>
      </c>
      <c r="AJ21" s="4">
        <v>8.5299999999999994</v>
      </c>
      <c r="AK21" s="4">
        <v>2.13</v>
      </c>
      <c r="AL21" s="6">
        <v>59.18</v>
      </c>
      <c r="AM21" s="4">
        <v>76.28</v>
      </c>
      <c r="AN21" s="4">
        <v>25.43</v>
      </c>
      <c r="AO21" s="4">
        <v>2.99</v>
      </c>
      <c r="AP21" s="4">
        <v>2.13</v>
      </c>
      <c r="AQ21" s="4">
        <v>3.2</v>
      </c>
      <c r="AR21" s="4">
        <v>0.73</v>
      </c>
      <c r="AS21" s="4">
        <v>8.5299999999999994</v>
      </c>
      <c r="AT21" s="6">
        <v>119.29</v>
      </c>
      <c r="AU21" s="6">
        <v>367.49</v>
      </c>
    </row>
    <row r="22" spans="1:47" x14ac:dyDescent="0.25">
      <c r="A22" s="34">
        <v>16</v>
      </c>
      <c r="B22" s="34" t="s">
        <v>177</v>
      </c>
      <c r="C22" s="34" t="s">
        <v>178</v>
      </c>
      <c r="D22" s="3" t="s">
        <v>179</v>
      </c>
      <c r="E22" s="3" t="s">
        <v>180</v>
      </c>
      <c r="F22" s="3" t="s">
        <v>181</v>
      </c>
      <c r="G22" s="34" t="s">
        <v>54</v>
      </c>
      <c r="H22" s="34" t="s">
        <v>177</v>
      </c>
      <c r="I22" s="34" t="s">
        <v>55</v>
      </c>
      <c r="J22" s="42">
        <v>35158</v>
      </c>
      <c r="K22" s="3" t="s">
        <v>95</v>
      </c>
      <c r="L22" s="34" t="s">
        <v>57</v>
      </c>
      <c r="M22" s="34" t="s">
        <v>58</v>
      </c>
      <c r="N22" s="34" t="s">
        <v>59</v>
      </c>
      <c r="O22" s="3" t="s">
        <v>60</v>
      </c>
      <c r="P22" s="3" t="s">
        <v>61</v>
      </c>
      <c r="Q22" s="34" t="s">
        <v>62</v>
      </c>
      <c r="R22" s="34" t="s">
        <v>182</v>
      </c>
      <c r="S22" s="3" t="s">
        <v>97</v>
      </c>
      <c r="T22" s="3"/>
      <c r="U22" s="42">
        <v>45957</v>
      </c>
      <c r="V22" s="3"/>
      <c r="W22" s="3"/>
      <c r="X22" s="4">
        <v>4</v>
      </c>
      <c r="Y22" s="5">
        <v>3500</v>
      </c>
      <c r="Z22" s="7"/>
      <c r="AA22" s="4">
        <v>466.67</v>
      </c>
      <c r="AB22" s="3"/>
      <c r="AC22" s="6">
        <v>466.67</v>
      </c>
      <c r="AD22" s="3"/>
      <c r="AE22" s="4">
        <v>60.67</v>
      </c>
      <c r="AF22" s="3"/>
      <c r="AG22" s="3"/>
      <c r="AH22" s="3"/>
      <c r="AI22" s="3"/>
      <c r="AJ22" s="3"/>
      <c r="AK22" s="4">
        <v>2.33</v>
      </c>
      <c r="AL22" s="6">
        <v>63</v>
      </c>
      <c r="AM22" s="4">
        <v>101.7</v>
      </c>
      <c r="AN22" s="3"/>
      <c r="AO22" s="4">
        <v>3.27</v>
      </c>
      <c r="AP22" s="4">
        <v>2.33</v>
      </c>
      <c r="AQ22" s="4">
        <v>3.5</v>
      </c>
      <c r="AR22" s="4">
        <v>0.51</v>
      </c>
      <c r="AS22" s="3"/>
      <c r="AT22" s="6">
        <v>111.31</v>
      </c>
      <c r="AU22" s="6">
        <v>403.67</v>
      </c>
    </row>
    <row r="23" spans="1:47" x14ac:dyDescent="0.25">
      <c r="A23" s="34">
        <v>17</v>
      </c>
      <c r="B23" s="34" t="s">
        <v>183</v>
      </c>
      <c r="C23" s="34" t="s">
        <v>184</v>
      </c>
      <c r="D23" s="3" t="s">
        <v>185</v>
      </c>
      <c r="E23" s="3" t="s">
        <v>186</v>
      </c>
      <c r="F23" s="3" t="s">
        <v>187</v>
      </c>
      <c r="G23" s="34" t="s">
        <v>54</v>
      </c>
      <c r="H23" s="34" t="s">
        <v>183</v>
      </c>
      <c r="I23" s="34" t="s">
        <v>55</v>
      </c>
      <c r="J23" s="42">
        <v>33624</v>
      </c>
      <c r="K23" s="3" t="s">
        <v>56</v>
      </c>
      <c r="L23" s="34" t="s">
        <v>57</v>
      </c>
      <c r="M23" s="34" t="s">
        <v>58</v>
      </c>
      <c r="N23" s="34" t="s">
        <v>59</v>
      </c>
      <c r="O23" s="3" t="s">
        <v>60</v>
      </c>
      <c r="P23" s="3" t="s">
        <v>81</v>
      </c>
      <c r="Q23" s="34" t="s">
        <v>82</v>
      </c>
      <c r="R23" s="34" t="s">
        <v>188</v>
      </c>
      <c r="S23" s="3" t="s">
        <v>73</v>
      </c>
      <c r="T23" s="3" t="s">
        <v>189</v>
      </c>
      <c r="U23" s="42">
        <v>45957</v>
      </c>
      <c r="V23" s="3"/>
      <c r="W23" s="3"/>
      <c r="X23" s="4">
        <v>4</v>
      </c>
      <c r="Y23" s="5">
        <v>3400</v>
      </c>
      <c r="Z23" s="7"/>
      <c r="AA23" s="4">
        <v>453.33</v>
      </c>
      <c r="AB23" s="3"/>
      <c r="AC23" s="6">
        <v>453.33</v>
      </c>
      <c r="AD23" s="3"/>
      <c r="AE23" s="3"/>
      <c r="AF23" s="3"/>
      <c r="AG23" s="4">
        <v>45.33</v>
      </c>
      <c r="AH23" s="3"/>
      <c r="AI23" s="4">
        <v>6.21</v>
      </c>
      <c r="AJ23" s="4">
        <v>9.07</v>
      </c>
      <c r="AK23" s="4">
        <v>2.27</v>
      </c>
      <c r="AL23" s="6">
        <v>62.88</v>
      </c>
      <c r="AM23" s="4">
        <v>101.7</v>
      </c>
      <c r="AN23" s="3"/>
      <c r="AO23" s="4">
        <v>3.17</v>
      </c>
      <c r="AP23" s="4">
        <v>2.27</v>
      </c>
      <c r="AQ23" s="4">
        <v>3.4</v>
      </c>
      <c r="AR23" s="4">
        <v>0.5</v>
      </c>
      <c r="AS23" s="4">
        <v>9.07</v>
      </c>
      <c r="AT23" s="6">
        <v>120.11</v>
      </c>
      <c r="AU23" s="6">
        <v>390.45</v>
      </c>
    </row>
    <row r="24" spans="1:47" x14ac:dyDescent="0.25">
      <c r="A24" s="34">
        <v>18</v>
      </c>
      <c r="B24" s="34" t="s">
        <v>190</v>
      </c>
      <c r="C24" s="34" t="s">
        <v>191</v>
      </c>
      <c r="D24" s="3" t="s">
        <v>192</v>
      </c>
      <c r="E24" s="3" t="s">
        <v>193</v>
      </c>
      <c r="F24" s="3" t="s">
        <v>194</v>
      </c>
      <c r="G24" s="34" t="s">
        <v>54</v>
      </c>
      <c r="H24" s="34" t="s">
        <v>190</v>
      </c>
      <c r="I24" s="34" t="s">
        <v>55</v>
      </c>
      <c r="J24" s="42">
        <v>32874</v>
      </c>
      <c r="K24" s="3" t="s">
        <v>95</v>
      </c>
      <c r="L24" s="34" t="s">
        <v>57</v>
      </c>
      <c r="M24" s="34" t="s">
        <v>58</v>
      </c>
      <c r="N24" s="34" t="s">
        <v>59</v>
      </c>
      <c r="O24" s="3" t="s">
        <v>60</v>
      </c>
      <c r="P24" s="3" t="s">
        <v>61</v>
      </c>
      <c r="Q24" s="34" t="s">
        <v>62</v>
      </c>
      <c r="R24" s="34" t="s">
        <v>195</v>
      </c>
      <c r="S24" s="3" t="s">
        <v>73</v>
      </c>
      <c r="T24" s="3" t="s">
        <v>196</v>
      </c>
      <c r="U24" s="42">
        <v>45950</v>
      </c>
      <c r="V24" s="3"/>
      <c r="W24" s="3"/>
      <c r="X24" s="4">
        <v>11</v>
      </c>
      <c r="Y24" s="5">
        <v>3500</v>
      </c>
      <c r="Z24" s="5">
        <v>141.25</v>
      </c>
      <c r="AA24" s="4">
        <v>1283.33</v>
      </c>
      <c r="AB24" s="4">
        <v>141.25</v>
      </c>
      <c r="AC24" s="6">
        <v>1424.58</v>
      </c>
      <c r="AD24" s="3"/>
      <c r="AE24" s="3"/>
      <c r="AF24" s="3"/>
      <c r="AG24" s="4">
        <v>142.46</v>
      </c>
      <c r="AH24" s="4">
        <v>22.08</v>
      </c>
      <c r="AI24" s="4">
        <v>19.52</v>
      </c>
      <c r="AJ24" s="4">
        <v>28.49</v>
      </c>
      <c r="AK24" s="4">
        <v>7.12</v>
      </c>
      <c r="AL24" s="6">
        <v>219.67</v>
      </c>
      <c r="AM24" s="4">
        <v>128.21</v>
      </c>
      <c r="AN24" s="3"/>
      <c r="AO24" s="4">
        <v>9.9700000000000006</v>
      </c>
      <c r="AP24" s="4">
        <v>7.12</v>
      </c>
      <c r="AQ24" s="4">
        <v>10.68</v>
      </c>
      <c r="AR24" s="4">
        <v>1.57</v>
      </c>
      <c r="AS24" s="4">
        <v>28.49</v>
      </c>
      <c r="AT24" s="6">
        <v>186.04</v>
      </c>
      <c r="AU24" s="6">
        <v>1204.9100000000001</v>
      </c>
    </row>
    <row r="25" spans="1:47" x14ac:dyDescent="0.25">
      <c r="A25" s="34">
        <v>19</v>
      </c>
      <c r="B25" s="34" t="s">
        <v>197</v>
      </c>
      <c r="C25" s="34" t="s">
        <v>198</v>
      </c>
      <c r="D25" s="3" t="s">
        <v>199</v>
      </c>
      <c r="E25" s="3" t="s">
        <v>200</v>
      </c>
      <c r="F25" s="3" t="s">
        <v>118</v>
      </c>
      <c r="G25" s="34" t="s">
        <v>54</v>
      </c>
      <c r="H25" s="34" t="s">
        <v>197</v>
      </c>
      <c r="I25" s="34" t="s">
        <v>55</v>
      </c>
      <c r="J25" s="42">
        <v>34104</v>
      </c>
      <c r="K25" s="3" t="s">
        <v>56</v>
      </c>
      <c r="L25" s="34" t="s">
        <v>57</v>
      </c>
      <c r="M25" s="34" t="s">
        <v>58</v>
      </c>
      <c r="N25" s="34" t="s">
        <v>59</v>
      </c>
      <c r="O25" s="3" t="s">
        <v>60</v>
      </c>
      <c r="P25" s="3" t="s">
        <v>81</v>
      </c>
      <c r="Q25" s="34" t="s">
        <v>82</v>
      </c>
      <c r="R25" s="34" t="s">
        <v>201</v>
      </c>
      <c r="S25" s="3" t="s">
        <v>97</v>
      </c>
      <c r="T25" s="3"/>
      <c r="U25" s="42">
        <v>45957</v>
      </c>
      <c r="V25" s="3"/>
      <c r="W25" s="3"/>
      <c r="X25" s="4">
        <v>4</v>
      </c>
      <c r="Y25" s="5">
        <v>3400</v>
      </c>
      <c r="Z25" s="5">
        <v>141.25</v>
      </c>
      <c r="AA25" s="4">
        <v>453.33</v>
      </c>
      <c r="AB25" s="4">
        <v>141.25</v>
      </c>
      <c r="AC25" s="6">
        <v>594.58000000000004</v>
      </c>
      <c r="AD25" s="3"/>
      <c r="AE25" s="4">
        <v>77.3</v>
      </c>
      <c r="AF25" s="3"/>
      <c r="AG25" s="3"/>
      <c r="AH25" s="3"/>
      <c r="AI25" s="3"/>
      <c r="AJ25" s="3"/>
      <c r="AK25" s="4">
        <v>2.97</v>
      </c>
      <c r="AL25" s="6">
        <v>80.27</v>
      </c>
      <c r="AM25" s="4">
        <v>101.7</v>
      </c>
      <c r="AN25" s="3"/>
      <c r="AO25" s="4">
        <v>4.16</v>
      </c>
      <c r="AP25" s="4">
        <v>2.97</v>
      </c>
      <c r="AQ25" s="4">
        <v>4.46</v>
      </c>
      <c r="AR25" s="4">
        <v>0.65</v>
      </c>
      <c r="AS25" s="3"/>
      <c r="AT25" s="6">
        <v>113.94</v>
      </c>
      <c r="AU25" s="6">
        <v>514.30999999999995</v>
      </c>
    </row>
    <row r="26" spans="1:47" x14ac:dyDescent="0.25">
      <c r="A26" s="8"/>
      <c r="B26" s="8"/>
      <c r="C26" s="8"/>
      <c r="D26" s="8"/>
      <c r="E26" s="8"/>
      <c r="F26" s="8"/>
      <c r="G26" s="41"/>
      <c r="H26" s="41"/>
      <c r="I26" s="41"/>
      <c r="J26" s="41"/>
      <c r="K26" s="8"/>
      <c r="L26" s="41"/>
      <c r="M26" s="41"/>
      <c r="N26" s="41"/>
      <c r="O26" s="8"/>
      <c r="P26" s="8"/>
      <c r="Q26" s="41"/>
      <c r="R26" s="41"/>
      <c r="S26" s="8"/>
      <c r="T26" s="8"/>
      <c r="U26" s="41"/>
      <c r="V26" s="8"/>
      <c r="W26" s="8"/>
      <c r="X26" s="9">
        <f t="shared" ref="X26:AB26" si="0">SUM(X7:X25)</f>
        <v>123</v>
      </c>
      <c r="Y26" s="10">
        <f t="shared" si="0"/>
        <v>80350</v>
      </c>
      <c r="Z26" s="10">
        <f t="shared" si="0"/>
        <v>1412.5</v>
      </c>
      <c r="AA26" s="9">
        <f t="shared" si="0"/>
        <v>20255</v>
      </c>
      <c r="AB26" s="9">
        <f t="shared" si="0"/>
        <v>1412.5</v>
      </c>
      <c r="AC26" s="9">
        <f t="shared" ref="AC26:AU26" si="1">SUM(AC7:AC25)</f>
        <v>21667.5</v>
      </c>
      <c r="AD26" s="9">
        <f t="shared" si="1"/>
        <v>2166.67</v>
      </c>
      <c r="AE26" s="9">
        <f t="shared" si="1"/>
        <v>828.96999999999991</v>
      </c>
      <c r="AF26" s="9">
        <f t="shared" si="1"/>
        <v>1243.5800000000002</v>
      </c>
      <c r="AG26" s="9">
        <f t="shared" si="1"/>
        <v>1529.1</v>
      </c>
      <c r="AH26" s="9">
        <f t="shared" si="1"/>
        <v>40.01</v>
      </c>
      <c r="AI26" s="9">
        <f t="shared" si="1"/>
        <v>209.50000000000003</v>
      </c>
      <c r="AJ26" s="9">
        <f t="shared" si="1"/>
        <v>305.82</v>
      </c>
      <c r="AK26" s="9">
        <f t="shared" si="1"/>
        <v>108.32999999999998</v>
      </c>
      <c r="AL26" s="9">
        <f t="shared" si="1"/>
        <v>6431.9800000000005</v>
      </c>
      <c r="AM26" s="9">
        <f t="shared" si="1"/>
        <v>2356.2399999999998</v>
      </c>
      <c r="AN26" s="9">
        <f t="shared" si="1"/>
        <v>213.57999999999998</v>
      </c>
      <c r="AO26" s="9">
        <f t="shared" si="1"/>
        <v>151.68</v>
      </c>
      <c r="AP26" s="9">
        <f t="shared" si="1"/>
        <v>108.32999999999998</v>
      </c>
      <c r="AQ26" s="9">
        <f t="shared" si="1"/>
        <v>162.50000000000003</v>
      </c>
      <c r="AR26" s="9">
        <f t="shared" si="1"/>
        <v>30.000000000000007</v>
      </c>
      <c r="AS26" s="9">
        <f t="shared" si="1"/>
        <v>305.82</v>
      </c>
      <c r="AT26" s="9">
        <f t="shared" si="1"/>
        <v>3328.15</v>
      </c>
      <c r="AU26" s="9">
        <f t="shared" si="1"/>
        <v>15235.519999999999</v>
      </c>
    </row>
    <row r="27" spans="1:47" ht="11" thickBot="1" x14ac:dyDescent="0.3"/>
    <row r="28" spans="1:47" ht="15.75" customHeight="1" thickBot="1" x14ac:dyDescent="0.3">
      <c r="B28" s="61" t="s">
        <v>202</v>
      </c>
      <c r="C28" s="62"/>
      <c r="D28" s="63"/>
    </row>
    <row r="29" spans="1:47" x14ac:dyDescent="0.25">
      <c r="B29" s="12" t="s">
        <v>203</v>
      </c>
      <c r="C29" s="13"/>
      <c r="D29" s="14">
        <v>0</v>
      </c>
      <c r="AS29" s="15" t="s">
        <v>204</v>
      </c>
      <c r="AT29" s="16"/>
      <c r="AU29" s="17" t="s">
        <v>205</v>
      </c>
    </row>
    <row r="30" spans="1:47" x14ac:dyDescent="0.25">
      <c r="B30" s="18" t="s">
        <v>206</v>
      </c>
      <c r="C30" s="19"/>
      <c r="D30" s="20">
        <f>4+15</f>
        <v>19</v>
      </c>
      <c r="AS30" s="21" t="s">
        <v>207</v>
      </c>
      <c r="AT30" s="22" t="s">
        <v>62</v>
      </c>
      <c r="AU30" s="23">
        <f>+SUMIF($Q$7:$Q$25,AT30,$AU$7:$AU$25)-AU32</f>
        <v>7784.59</v>
      </c>
    </row>
    <row r="31" spans="1:47" x14ac:dyDescent="0.25">
      <c r="B31" s="18" t="s">
        <v>208</v>
      </c>
      <c r="C31" s="19"/>
      <c r="D31" s="20">
        <v>0</v>
      </c>
      <c r="AS31" s="21" t="s">
        <v>209</v>
      </c>
      <c r="AT31" s="22" t="s">
        <v>82</v>
      </c>
      <c r="AU31" s="23">
        <f>+SUMIF($Q$7:$Q$25,AT31,$AU$7:$AU$25)-AU33</f>
        <v>7450.93</v>
      </c>
    </row>
    <row r="32" spans="1:47" x14ac:dyDescent="0.25">
      <c r="B32" s="18" t="s">
        <v>210</v>
      </c>
      <c r="C32" s="19"/>
      <c r="D32" s="24">
        <v>0</v>
      </c>
      <c r="AS32" s="25" t="s">
        <v>211</v>
      </c>
      <c r="AT32" s="26" t="s">
        <v>62</v>
      </c>
      <c r="AU32" s="27"/>
    </row>
    <row r="33" spans="2:47" x14ac:dyDescent="0.25">
      <c r="B33" s="18" t="s">
        <v>212</v>
      </c>
      <c r="C33" s="19"/>
      <c r="D33" s="24">
        <v>0</v>
      </c>
      <c r="AS33" s="25" t="s">
        <v>211</v>
      </c>
      <c r="AT33" s="26" t="s">
        <v>82</v>
      </c>
      <c r="AU33" s="28"/>
    </row>
    <row r="34" spans="2:47" ht="11" thickBot="1" x14ac:dyDescent="0.3">
      <c r="B34" s="29" t="s">
        <v>213</v>
      </c>
      <c r="C34" s="30"/>
      <c r="D34" s="31">
        <f>+D29+D30-D31+D32-D33</f>
        <v>19</v>
      </c>
      <c r="AS34" s="32" t="s">
        <v>214</v>
      </c>
      <c r="AT34" s="11"/>
      <c r="AU34" s="33">
        <f>SUM(AU30:AU33)</f>
        <v>15235.52</v>
      </c>
    </row>
  </sheetData>
  <mergeCells count="1">
    <mergeCell ref="B28:D28"/>
  </mergeCells>
  <pageMargins left="0.75" right="0.75" top="0.75" bottom="0.5" header="0.5" footer="0.75"/>
  <pageSetup orientation="portrait" r:id="rId1"/>
  <headerFooter>
    <oddHeader>&amp;C&amp;"Calibri"&amp;10&amp;K317100 UNRESTRICTED&amp;1#_x000D_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1389-BBAD-40FD-B9B5-EFDD09577BC9}">
  <sheetPr filterMode="1"/>
  <dimension ref="A3:AX34"/>
  <sheetViews>
    <sheetView workbookViewId="0">
      <pane xSplit="8" ySplit="6" topLeftCell="AM7" activePane="bottomRight" state="frozen"/>
      <selection pane="topRight" activeCell="I1" sqref="I1"/>
      <selection pane="bottomLeft" activeCell="A7" sqref="A7"/>
      <selection pane="bottomRight" activeCell="U11" activeCellId="29" sqref="D17:U17 D21:H21 U21 D15:F15 U15 D22:F22 U22 D8 D7:F7 U7 D23:F23 U23 D25:F25 U25 D19:F19 U19 D9:F9 U9 D10:F10 U10 E8:F8 U8 D20:F20 U20 D13:F13 U13 D16:F16 U16 D11:F11 U11"/>
    </sheetView>
  </sheetViews>
  <sheetFormatPr baseColWidth="10" defaultColWidth="9.08984375" defaultRowHeight="10.5" x14ac:dyDescent="0.25"/>
  <cols>
    <col min="1" max="1" width="3.90625" style="2" customWidth="1"/>
    <col min="2" max="2" width="10.36328125" style="2" customWidth="1"/>
    <col min="3" max="3" width="11" style="2" customWidth="1"/>
    <col min="4" max="4" width="12.81640625" style="2" bestFit="1" customWidth="1"/>
    <col min="5" max="5" width="13.1796875" style="2" bestFit="1" customWidth="1"/>
    <col min="6" max="6" width="12" style="2" customWidth="1"/>
    <col min="7" max="7" width="9.90625" style="40" customWidth="1"/>
    <col min="8" max="8" width="10.36328125" style="40" customWidth="1"/>
    <col min="9" max="9" width="5.81640625" style="40" customWidth="1"/>
    <col min="10" max="10" width="10" style="40" bestFit="1" customWidth="1"/>
    <col min="11" max="11" width="34.36328125" style="2" customWidth="1"/>
    <col min="12" max="12" width="10.36328125" style="40" customWidth="1"/>
    <col min="13" max="13" width="13.54296875" style="40" bestFit="1" customWidth="1"/>
    <col min="14" max="14" width="11.81640625" style="40" customWidth="1"/>
    <col min="15" max="15" width="27.81640625" style="2" bestFit="1" customWidth="1"/>
    <col min="16" max="16" width="32.6328125" style="2" customWidth="1"/>
    <col min="17" max="17" width="7.54296875" style="40" customWidth="1"/>
    <col min="18" max="18" width="19.1796875" style="40" customWidth="1"/>
    <col min="19" max="19" width="14.08984375" style="2" customWidth="1"/>
    <col min="20" max="20" width="11.1796875" style="2" bestFit="1" customWidth="1"/>
    <col min="21" max="21" width="11.36328125" style="40" customWidth="1"/>
    <col min="22" max="22" width="11" style="2" customWidth="1"/>
    <col min="23" max="23" width="10.1796875" style="2" customWidth="1"/>
    <col min="24" max="24" width="11.36328125" style="2" customWidth="1"/>
    <col min="25" max="25" width="10.90625" style="2" customWidth="1"/>
    <col min="26" max="26" width="12.54296875" style="2" customWidth="1"/>
    <col min="27" max="28" width="12.1796875" style="2" customWidth="1"/>
    <col min="29" max="29" width="11" style="2" bestFit="1" customWidth="1"/>
    <col min="30" max="30" width="11.453125" style="2" customWidth="1"/>
    <col min="31" max="31" width="7" style="2" customWidth="1"/>
    <col min="32" max="32" width="11" style="2" customWidth="1"/>
    <col min="33" max="33" width="13.54296875" style="2" customWidth="1"/>
    <col min="34" max="34" width="12.1796875" style="2" customWidth="1"/>
    <col min="35" max="35" width="11.90625" style="2" customWidth="1"/>
    <col min="36" max="36" width="10.81640625" style="2" customWidth="1"/>
    <col min="37" max="37" width="8.453125" style="2" customWidth="1"/>
    <col min="38" max="38" width="11.6328125" style="2" customWidth="1"/>
    <col min="39" max="39" width="9.6328125" style="2" customWidth="1"/>
    <col min="40" max="40" width="8.90625" style="2" customWidth="1"/>
    <col min="41" max="42" width="10.90625" style="2" customWidth="1"/>
    <col min="43" max="43" width="8.08984375" style="2" customWidth="1"/>
    <col min="44" max="44" width="10.08984375" style="2" customWidth="1"/>
    <col min="45" max="45" width="10" style="2" customWidth="1"/>
    <col min="46" max="46" width="13.08984375" style="2" customWidth="1"/>
    <col min="47" max="47" width="10" style="2" bestFit="1" customWidth="1"/>
    <col min="48" max="16384" width="9.08984375" style="2"/>
  </cols>
  <sheetData>
    <row r="3" spans="1:50" x14ac:dyDescent="0.25">
      <c r="A3" s="1" t="s">
        <v>0</v>
      </c>
    </row>
    <row r="4" spans="1:50" x14ac:dyDescent="0.25">
      <c r="A4" s="1" t="s">
        <v>1</v>
      </c>
    </row>
    <row r="6" spans="1:50" s="39" customFormat="1" ht="21" x14ac:dyDescent="0.35">
      <c r="A6" s="35" t="s">
        <v>2</v>
      </c>
      <c r="B6" s="36" t="s">
        <v>3</v>
      </c>
      <c r="C6" s="36" t="s">
        <v>4</v>
      </c>
      <c r="D6" s="36" t="s">
        <v>5</v>
      </c>
      <c r="E6" s="36" t="s">
        <v>6</v>
      </c>
      <c r="F6" s="36" t="s">
        <v>7</v>
      </c>
      <c r="G6" s="36" t="s">
        <v>8</v>
      </c>
      <c r="H6" s="36" t="s">
        <v>9</v>
      </c>
      <c r="I6" s="36" t="s">
        <v>10</v>
      </c>
      <c r="J6" s="36" t="s">
        <v>11</v>
      </c>
      <c r="K6" s="36" t="s">
        <v>12</v>
      </c>
      <c r="L6" s="36" t="s">
        <v>13</v>
      </c>
      <c r="M6" s="36" t="s">
        <v>14</v>
      </c>
      <c r="N6" s="36" t="s">
        <v>15</v>
      </c>
      <c r="O6" s="36" t="s">
        <v>16</v>
      </c>
      <c r="P6" s="36" t="s">
        <v>17</v>
      </c>
      <c r="Q6" s="36" t="s">
        <v>18</v>
      </c>
      <c r="R6" s="36" t="s">
        <v>19</v>
      </c>
      <c r="S6" s="36" t="s">
        <v>20</v>
      </c>
      <c r="T6" s="36" t="s">
        <v>21</v>
      </c>
      <c r="U6" s="36" t="s">
        <v>22</v>
      </c>
      <c r="V6" s="36" t="s">
        <v>23</v>
      </c>
      <c r="W6" s="36" t="s">
        <v>24</v>
      </c>
      <c r="X6" s="36" t="s">
        <v>25</v>
      </c>
      <c r="Y6" s="37" t="s">
        <v>26</v>
      </c>
      <c r="Z6" s="37" t="s">
        <v>27</v>
      </c>
      <c r="AA6" s="36" t="s">
        <v>28</v>
      </c>
      <c r="AB6" s="36" t="s">
        <v>29</v>
      </c>
      <c r="AC6" s="38" t="s">
        <v>30</v>
      </c>
      <c r="AD6" s="36" t="s">
        <v>31</v>
      </c>
      <c r="AE6" s="36" t="s">
        <v>32</v>
      </c>
      <c r="AF6" s="36" t="s">
        <v>33</v>
      </c>
      <c r="AG6" s="36" t="s">
        <v>34</v>
      </c>
      <c r="AH6" s="36" t="s">
        <v>35</v>
      </c>
      <c r="AI6" s="36" t="s">
        <v>36</v>
      </c>
      <c r="AJ6" s="36" t="s">
        <v>37</v>
      </c>
      <c r="AK6" s="36" t="s">
        <v>38</v>
      </c>
      <c r="AL6" s="38" t="s">
        <v>39</v>
      </c>
      <c r="AM6" s="36" t="s">
        <v>40</v>
      </c>
      <c r="AN6" s="36" t="s">
        <v>41</v>
      </c>
      <c r="AO6" s="36" t="s">
        <v>42</v>
      </c>
      <c r="AP6" s="36" t="s">
        <v>43</v>
      </c>
      <c r="AQ6" s="36" t="s">
        <v>44</v>
      </c>
      <c r="AR6" s="36" t="s">
        <v>45</v>
      </c>
      <c r="AS6" s="36" t="s">
        <v>46</v>
      </c>
      <c r="AT6" s="38" t="s">
        <v>47</v>
      </c>
      <c r="AU6" s="38" t="s">
        <v>48</v>
      </c>
      <c r="AW6" s="38" t="s">
        <v>215</v>
      </c>
      <c r="AX6" s="38" t="s">
        <v>216</v>
      </c>
    </row>
    <row r="7" spans="1:50" x14ac:dyDescent="0.25">
      <c r="A7" s="34">
        <v>1</v>
      </c>
      <c r="B7" s="34" t="s">
        <v>49</v>
      </c>
      <c r="C7" s="34" t="s">
        <v>50</v>
      </c>
      <c r="D7" s="46" t="s">
        <v>51</v>
      </c>
      <c r="E7" s="46" t="s">
        <v>52</v>
      </c>
      <c r="F7" s="46" t="s">
        <v>53</v>
      </c>
      <c r="G7" s="34" t="s">
        <v>54</v>
      </c>
      <c r="H7" s="34" t="s">
        <v>49</v>
      </c>
      <c r="I7" s="34" t="s">
        <v>55</v>
      </c>
      <c r="J7" s="42">
        <v>30787</v>
      </c>
      <c r="K7" s="3" t="s">
        <v>56</v>
      </c>
      <c r="L7" s="34" t="s">
        <v>57</v>
      </c>
      <c r="M7" s="34" t="s">
        <v>58</v>
      </c>
      <c r="N7" s="34" t="s">
        <v>59</v>
      </c>
      <c r="O7" s="3" t="s">
        <v>60</v>
      </c>
      <c r="P7" s="3" t="s">
        <v>61</v>
      </c>
      <c r="Q7" s="34" t="s">
        <v>62</v>
      </c>
      <c r="R7" s="34" t="s">
        <v>63</v>
      </c>
      <c r="S7" s="3" t="s">
        <v>64</v>
      </c>
      <c r="T7" s="3" t="s">
        <v>65</v>
      </c>
      <c r="U7" s="48">
        <v>45957</v>
      </c>
      <c r="V7" s="3"/>
      <c r="W7" s="3"/>
      <c r="X7" s="4">
        <v>4</v>
      </c>
      <c r="Y7" s="5">
        <v>3400</v>
      </c>
      <c r="Z7" s="5">
        <v>141.25</v>
      </c>
      <c r="AA7" s="4">
        <v>453.33</v>
      </c>
      <c r="AB7" s="4">
        <v>141.25</v>
      </c>
      <c r="AC7" s="6">
        <v>594.58000000000004</v>
      </c>
      <c r="AD7" s="3"/>
      <c r="AE7" s="3"/>
      <c r="AF7" s="4">
        <v>316.73</v>
      </c>
      <c r="AG7" s="4">
        <v>59.46</v>
      </c>
      <c r="AH7" s="3"/>
      <c r="AI7" s="4">
        <v>8.15</v>
      </c>
      <c r="AJ7" s="4">
        <v>11.89</v>
      </c>
      <c r="AK7" s="4">
        <v>2.97</v>
      </c>
      <c r="AL7" s="6">
        <v>399.2</v>
      </c>
      <c r="AM7" s="4">
        <v>101.7</v>
      </c>
      <c r="AN7" s="3"/>
      <c r="AO7" s="4">
        <v>4.16</v>
      </c>
      <c r="AP7" s="4">
        <v>2.97</v>
      </c>
      <c r="AQ7" s="4">
        <v>4.46</v>
      </c>
      <c r="AR7" s="4">
        <v>1.01</v>
      </c>
      <c r="AS7" s="4">
        <v>11.89</v>
      </c>
      <c r="AT7" s="6">
        <v>126.19</v>
      </c>
      <c r="AU7" s="6">
        <v>195.38</v>
      </c>
      <c r="AW7" s="43"/>
      <c r="AX7" s="45">
        <f>+AU7-AW7</f>
        <v>195.38</v>
      </c>
    </row>
    <row r="8" spans="1:50" x14ac:dyDescent="0.25">
      <c r="A8" s="34">
        <v>2</v>
      </c>
      <c r="B8" s="34" t="s">
        <v>66</v>
      </c>
      <c r="C8" s="34" t="s">
        <v>67</v>
      </c>
      <c r="D8" s="46" t="s">
        <v>68</v>
      </c>
      <c r="E8" s="46" t="s">
        <v>69</v>
      </c>
      <c r="F8" s="46" t="s">
        <v>70</v>
      </c>
      <c r="G8" s="34" t="s">
        <v>54</v>
      </c>
      <c r="H8" s="34" t="s">
        <v>66</v>
      </c>
      <c r="I8" s="34" t="s">
        <v>55</v>
      </c>
      <c r="J8" s="42">
        <v>34171</v>
      </c>
      <c r="K8" s="3" t="s">
        <v>71</v>
      </c>
      <c r="L8" s="34" t="s">
        <v>57</v>
      </c>
      <c r="M8" s="34" t="s">
        <v>58</v>
      </c>
      <c r="N8" s="34" t="s">
        <v>59</v>
      </c>
      <c r="O8" s="3" t="s">
        <v>60</v>
      </c>
      <c r="P8" s="3" t="s">
        <v>61</v>
      </c>
      <c r="Q8" s="34" t="s">
        <v>62</v>
      </c>
      <c r="R8" s="34" t="s">
        <v>72</v>
      </c>
      <c r="S8" s="3" t="s">
        <v>73</v>
      </c>
      <c r="T8" s="3" t="s">
        <v>74</v>
      </c>
      <c r="U8" s="48">
        <v>45957</v>
      </c>
      <c r="V8" s="3"/>
      <c r="W8" s="3"/>
      <c r="X8" s="4">
        <v>4</v>
      </c>
      <c r="Y8" s="5">
        <v>3450</v>
      </c>
      <c r="Z8" s="7"/>
      <c r="AA8" s="4">
        <v>460</v>
      </c>
      <c r="AB8" s="3"/>
      <c r="AC8" s="6">
        <v>460</v>
      </c>
      <c r="AD8" s="3"/>
      <c r="AE8" s="3"/>
      <c r="AF8" s="3"/>
      <c r="AG8" s="4">
        <v>46</v>
      </c>
      <c r="AH8" s="3"/>
      <c r="AI8" s="4">
        <v>6.3</v>
      </c>
      <c r="AJ8" s="4">
        <v>9.1999999999999993</v>
      </c>
      <c r="AK8" s="4">
        <v>2.2999999999999998</v>
      </c>
      <c r="AL8" s="6">
        <v>63.8</v>
      </c>
      <c r="AM8" s="4">
        <v>101.7</v>
      </c>
      <c r="AN8" s="3"/>
      <c r="AO8" s="4">
        <v>3.22</v>
      </c>
      <c r="AP8" s="4">
        <v>2.2999999999999998</v>
      </c>
      <c r="AQ8" s="4">
        <v>3.45</v>
      </c>
      <c r="AR8" s="4">
        <v>0.51</v>
      </c>
      <c r="AS8" s="4">
        <v>9.1999999999999993</v>
      </c>
      <c r="AT8" s="6">
        <v>120.38</v>
      </c>
      <c r="AU8" s="6">
        <v>396.2</v>
      </c>
      <c r="AW8" s="43"/>
      <c r="AX8" s="45">
        <f t="shared" ref="AX8:AX25" si="0">+AU8-AW8</f>
        <v>396.2</v>
      </c>
    </row>
    <row r="9" spans="1:50" x14ac:dyDescent="0.25">
      <c r="A9" s="34">
        <v>3</v>
      </c>
      <c r="B9" s="34" t="s">
        <v>75</v>
      </c>
      <c r="C9" s="34" t="s">
        <v>76</v>
      </c>
      <c r="D9" s="46" t="s">
        <v>77</v>
      </c>
      <c r="E9" s="46" t="s">
        <v>78</v>
      </c>
      <c r="F9" s="46" t="s">
        <v>79</v>
      </c>
      <c r="G9" s="34" t="s">
        <v>54</v>
      </c>
      <c r="H9" s="34" t="s">
        <v>75</v>
      </c>
      <c r="I9" s="34" t="s">
        <v>55</v>
      </c>
      <c r="J9" s="42">
        <v>30182</v>
      </c>
      <c r="K9" s="3" t="s">
        <v>80</v>
      </c>
      <c r="L9" s="34" t="s">
        <v>57</v>
      </c>
      <c r="M9" s="34" t="s">
        <v>58</v>
      </c>
      <c r="N9" s="34" t="s">
        <v>59</v>
      </c>
      <c r="O9" s="3" t="s">
        <v>60</v>
      </c>
      <c r="P9" s="3" t="s">
        <v>81</v>
      </c>
      <c r="Q9" s="34" t="s">
        <v>82</v>
      </c>
      <c r="R9" s="34" t="s">
        <v>83</v>
      </c>
      <c r="S9" s="3" t="s">
        <v>64</v>
      </c>
      <c r="T9" s="3" t="s">
        <v>84</v>
      </c>
      <c r="U9" s="48">
        <v>45957</v>
      </c>
      <c r="V9" s="3"/>
      <c r="W9" s="3"/>
      <c r="X9" s="4">
        <v>4</v>
      </c>
      <c r="Y9" s="5">
        <v>3450</v>
      </c>
      <c r="Z9" s="5">
        <v>141.25</v>
      </c>
      <c r="AA9" s="4">
        <v>460</v>
      </c>
      <c r="AB9" s="4">
        <v>141.25</v>
      </c>
      <c r="AC9" s="6">
        <v>601.25</v>
      </c>
      <c r="AD9" s="3"/>
      <c r="AE9" s="3"/>
      <c r="AF9" s="3"/>
      <c r="AG9" s="4">
        <v>60.13</v>
      </c>
      <c r="AH9" s="3"/>
      <c r="AI9" s="4">
        <v>8.24</v>
      </c>
      <c r="AJ9" s="4">
        <v>12.03</v>
      </c>
      <c r="AK9" s="4">
        <v>3.01</v>
      </c>
      <c r="AL9" s="6">
        <v>83.41</v>
      </c>
      <c r="AM9" s="4">
        <v>101.7</v>
      </c>
      <c r="AN9" s="3"/>
      <c r="AO9" s="4">
        <v>4.21</v>
      </c>
      <c r="AP9" s="4">
        <v>3.01</v>
      </c>
      <c r="AQ9" s="4">
        <v>4.51</v>
      </c>
      <c r="AR9" s="4">
        <v>1.02</v>
      </c>
      <c r="AS9" s="4">
        <v>12.03</v>
      </c>
      <c r="AT9" s="6">
        <v>126.48</v>
      </c>
      <c r="AU9" s="6">
        <v>517.84</v>
      </c>
      <c r="AW9" s="43"/>
      <c r="AX9" s="45">
        <f t="shared" si="0"/>
        <v>517.84</v>
      </c>
    </row>
    <row r="10" spans="1:50" x14ac:dyDescent="0.25">
      <c r="A10" s="34">
        <v>4</v>
      </c>
      <c r="B10" s="34" t="s">
        <v>85</v>
      </c>
      <c r="C10" s="34" t="s">
        <v>86</v>
      </c>
      <c r="D10" s="46" t="s">
        <v>87</v>
      </c>
      <c r="E10" s="46" t="s">
        <v>88</v>
      </c>
      <c r="F10" s="46" t="s">
        <v>89</v>
      </c>
      <c r="G10" s="34" t="s">
        <v>54</v>
      </c>
      <c r="H10" s="34" t="s">
        <v>85</v>
      </c>
      <c r="I10" s="34" t="s">
        <v>55</v>
      </c>
      <c r="J10" s="42">
        <v>34162</v>
      </c>
      <c r="K10" s="3" t="s">
        <v>80</v>
      </c>
      <c r="L10" s="34" t="s">
        <v>57</v>
      </c>
      <c r="M10" s="34" t="s">
        <v>58</v>
      </c>
      <c r="N10" s="34" t="s">
        <v>59</v>
      </c>
      <c r="O10" s="3" t="s">
        <v>60</v>
      </c>
      <c r="P10" s="3" t="s">
        <v>61</v>
      </c>
      <c r="Q10" s="34" t="s">
        <v>62</v>
      </c>
      <c r="R10" s="34" t="s">
        <v>90</v>
      </c>
      <c r="S10" s="3" t="s">
        <v>73</v>
      </c>
      <c r="T10" s="3" t="s">
        <v>91</v>
      </c>
      <c r="U10" s="48">
        <v>45957</v>
      </c>
      <c r="V10" s="3"/>
      <c r="W10" s="3"/>
      <c r="X10" s="4">
        <v>4</v>
      </c>
      <c r="Y10" s="5">
        <v>3450</v>
      </c>
      <c r="Z10" s="5">
        <v>141.25</v>
      </c>
      <c r="AA10" s="4">
        <v>460</v>
      </c>
      <c r="AB10" s="4">
        <v>141.25</v>
      </c>
      <c r="AC10" s="6">
        <v>601.25</v>
      </c>
      <c r="AD10" s="3"/>
      <c r="AE10" s="3"/>
      <c r="AF10" s="3"/>
      <c r="AG10" s="4">
        <v>60.13</v>
      </c>
      <c r="AH10" s="3"/>
      <c r="AI10" s="4">
        <v>8.24</v>
      </c>
      <c r="AJ10" s="4">
        <v>12.03</v>
      </c>
      <c r="AK10" s="4">
        <v>3.01</v>
      </c>
      <c r="AL10" s="6">
        <v>83.41</v>
      </c>
      <c r="AM10" s="4">
        <v>101.7</v>
      </c>
      <c r="AN10" s="3"/>
      <c r="AO10" s="4">
        <v>4.21</v>
      </c>
      <c r="AP10" s="4">
        <v>3.01</v>
      </c>
      <c r="AQ10" s="4">
        <v>4.51</v>
      </c>
      <c r="AR10" s="4">
        <v>0.66</v>
      </c>
      <c r="AS10" s="4">
        <v>12.03</v>
      </c>
      <c r="AT10" s="6">
        <v>126.12</v>
      </c>
      <c r="AU10" s="6">
        <v>517.84</v>
      </c>
      <c r="AW10" s="43"/>
      <c r="AX10" s="45">
        <f t="shared" si="0"/>
        <v>517.84</v>
      </c>
    </row>
    <row r="11" spans="1:50" x14ac:dyDescent="0.25">
      <c r="A11" s="34">
        <v>5</v>
      </c>
      <c r="B11" s="34" t="s">
        <v>92</v>
      </c>
      <c r="C11" s="34" t="s">
        <v>93</v>
      </c>
      <c r="D11" s="46" t="s">
        <v>87</v>
      </c>
      <c r="E11" s="46" t="s">
        <v>87</v>
      </c>
      <c r="F11" s="46" t="s">
        <v>94</v>
      </c>
      <c r="G11" s="34" t="s">
        <v>54</v>
      </c>
      <c r="H11" s="34" t="s">
        <v>92</v>
      </c>
      <c r="I11" s="34" t="s">
        <v>55</v>
      </c>
      <c r="J11" s="42">
        <v>29347</v>
      </c>
      <c r="K11" s="3" t="s">
        <v>95</v>
      </c>
      <c r="L11" s="34" t="s">
        <v>57</v>
      </c>
      <c r="M11" s="34" t="s">
        <v>58</v>
      </c>
      <c r="N11" s="34" t="s">
        <v>59</v>
      </c>
      <c r="O11" s="3" t="s">
        <v>60</v>
      </c>
      <c r="P11" s="3" t="s">
        <v>61</v>
      </c>
      <c r="Q11" s="34" t="s">
        <v>62</v>
      </c>
      <c r="R11" s="34" t="s">
        <v>96</v>
      </c>
      <c r="S11" s="3" t="s">
        <v>97</v>
      </c>
      <c r="T11" s="3"/>
      <c r="U11" s="48">
        <v>45957</v>
      </c>
      <c r="V11" s="3"/>
      <c r="W11" s="3"/>
      <c r="X11" s="4">
        <v>4</v>
      </c>
      <c r="Y11" s="5">
        <v>3500</v>
      </c>
      <c r="Z11" s="5">
        <v>141.25</v>
      </c>
      <c r="AA11" s="4">
        <v>466.67</v>
      </c>
      <c r="AB11" s="4">
        <v>141.25</v>
      </c>
      <c r="AC11" s="6">
        <v>607.91999999999996</v>
      </c>
      <c r="AD11" s="3"/>
      <c r="AE11" s="4">
        <v>79.03</v>
      </c>
      <c r="AF11" s="3"/>
      <c r="AG11" s="3"/>
      <c r="AH11" s="3"/>
      <c r="AI11" s="3"/>
      <c r="AJ11" s="3"/>
      <c r="AK11" s="4">
        <v>3.04</v>
      </c>
      <c r="AL11" s="6">
        <v>82.07</v>
      </c>
      <c r="AM11" s="4">
        <v>101.7</v>
      </c>
      <c r="AN11" s="3"/>
      <c r="AO11" s="4">
        <v>4.26</v>
      </c>
      <c r="AP11" s="4">
        <v>3.04</v>
      </c>
      <c r="AQ11" s="4">
        <v>4.5599999999999996</v>
      </c>
      <c r="AR11" s="4">
        <v>1.03</v>
      </c>
      <c r="AS11" s="3"/>
      <c r="AT11" s="6">
        <v>114.59</v>
      </c>
      <c r="AU11" s="6">
        <v>525.85</v>
      </c>
      <c r="AW11" s="43"/>
      <c r="AX11" s="45">
        <f t="shared" si="0"/>
        <v>525.85</v>
      </c>
    </row>
    <row r="12" spans="1:50" hidden="1" x14ac:dyDescent="0.25">
      <c r="A12" s="34">
        <v>6</v>
      </c>
      <c r="B12" s="34" t="s">
        <v>98</v>
      </c>
      <c r="C12" s="34" t="s">
        <v>99</v>
      </c>
      <c r="D12" s="3" t="s">
        <v>100</v>
      </c>
      <c r="E12" s="3" t="s">
        <v>101</v>
      </c>
      <c r="F12" s="3" t="s">
        <v>102</v>
      </c>
      <c r="G12" s="34" t="s">
        <v>54</v>
      </c>
      <c r="H12" s="34" t="s">
        <v>98</v>
      </c>
      <c r="I12" s="34" t="s">
        <v>55</v>
      </c>
      <c r="J12" s="42">
        <v>30915</v>
      </c>
      <c r="K12" s="3" t="s">
        <v>103</v>
      </c>
      <c r="L12" s="34" t="s">
        <v>57</v>
      </c>
      <c r="M12" s="34" t="s">
        <v>58</v>
      </c>
      <c r="N12" s="34" t="s">
        <v>59</v>
      </c>
      <c r="O12" s="3" t="s">
        <v>60</v>
      </c>
      <c r="P12" s="3" t="s">
        <v>81</v>
      </c>
      <c r="Q12" s="34" t="s">
        <v>82</v>
      </c>
      <c r="R12" s="34" t="s">
        <v>104</v>
      </c>
      <c r="S12" s="3" t="s">
        <v>64</v>
      </c>
      <c r="T12" s="3" t="s">
        <v>105</v>
      </c>
      <c r="U12" s="42">
        <v>45936</v>
      </c>
      <c r="V12" s="3"/>
      <c r="W12" s="3"/>
      <c r="X12" s="4">
        <v>25</v>
      </c>
      <c r="Y12" s="5">
        <v>6500</v>
      </c>
      <c r="Z12" s="7"/>
      <c r="AA12" s="4">
        <v>5416.67</v>
      </c>
      <c r="AB12" s="3"/>
      <c r="AC12" s="6">
        <v>5416.67</v>
      </c>
      <c r="AD12" s="4">
        <v>2166.67</v>
      </c>
      <c r="AE12" s="3"/>
      <c r="AF12" s="4">
        <v>202.25</v>
      </c>
      <c r="AG12" s="4">
        <v>541.66999999999996</v>
      </c>
      <c r="AH12" s="3"/>
      <c r="AI12" s="4">
        <v>74.209999999999994</v>
      </c>
      <c r="AJ12" s="4">
        <v>108.33</v>
      </c>
      <c r="AK12" s="4">
        <v>27.08</v>
      </c>
      <c r="AL12" s="6">
        <v>3120.21</v>
      </c>
      <c r="AM12" s="4">
        <v>487.5</v>
      </c>
      <c r="AN12" s="3"/>
      <c r="AO12" s="4">
        <v>37.92</v>
      </c>
      <c r="AP12" s="4">
        <v>27.08</v>
      </c>
      <c r="AQ12" s="4">
        <v>40.630000000000003</v>
      </c>
      <c r="AR12" s="4">
        <v>9.2100000000000009</v>
      </c>
      <c r="AS12" s="4">
        <v>108.33</v>
      </c>
      <c r="AT12" s="6">
        <v>710.67</v>
      </c>
      <c r="AU12" s="6">
        <v>2296.46</v>
      </c>
      <c r="AW12" s="43">
        <v>2296.46</v>
      </c>
      <c r="AX12" s="44">
        <f t="shared" si="0"/>
        <v>0</v>
      </c>
    </row>
    <row r="13" spans="1:50" x14ac:dyDescent="0.25">
      <c r="A13" s="34">
        <v>7</v>
      </c>
      <c r="B13" s="34" t="s">
        <v>106</v>
      </c>
      <c r="C13" s="34" t="s">
        <v>107</v>
      </c>
      <c r="D13" s="46" t="s">
        <v>108</v>
      </c>
      <c r="E13" s="46" t="s">
        <v>109</v>
      </c>
      <c r="F13" s="46" t="s">
        <v>110</v>
      </c>
      <c r="G13" s="34" t="s">
        <v>54</v>
      </c>
      <c r="H13" s="34" t="s">
        <v>106</v>
      </c>
      <c r="I13" s="34" t="s">
        <v>111</v>
      </c>
      <c r="J13" s="42">
        <v>34371</v>
      </c>
      <c r="K13" s="3" t="s">
        <v>112</v>
      </c>
      <c r="L13" s="34" t="s">
        <v>57</v>
      </c>
      <c r="M13" s="34" t="s">
        <v>58</v>
      </c>
      <c r="N13" s="34" t="s">
        <v>59</v>
      </c>
      <c r="O13" s="3" t="s">
        <v>60</v>
      </c>
      <c r="P13" s="3" t="s">
        <v>61</v>
      </c>
      <c r="Q13" s="34" t="s">
        <v>62</v>
      </c>
      <c r="R13" s="34" t="s">
        <v>113</v>
      </c>
      <c r="S13" s="3" t="s">
        <v>73</v>
      </c>
      <c r="T13" s="3" t="s">
        <v>114</v>
      </c>
      <c r="U13" s="48">
        <v>45957</v>
      </c>
      <c r="V13" s="3"/>
      <c r="W13" s="3"/>
      <c r="X13" s="4">
        <v>4</v>
      </c>
      <c r="Y13" s="5">
        <v>3500</v>
      </c>
      <c r="Z13" s="7"/>
      <c r="AA13" s="4">
        <v>466.67</v>
      </c>
      <c r="AB13" s="3"/>
      <c r="AC13" s="6">
        <v>466.67</v>
      </c>
      <c r="AD13" s="3"/>
      <c r="AE13" s="3"/>
      <c r="AF13" s="3"/>
      <c r="AG13" s="4">
        <v>46.67</v>
      </c>
      <c r="AH13" s="3"/>
      <c r="AI13" s="4">
        <v>6.39</v>
      </c>
      <c r="AJ13" s="4">
        <v>9.33</v>
      </c>
      <c r="AK13" s="4">
        <v>2.33</v>
      </c>
      <c r="AL13" s="6">
        <v>64.72</v>
      </c>
      <c r="AM13" s="4">
        <v>42</v>
      </c>
      <c r="AN13" s="3"/>
      <c r="AO13" s="4">
        <v>3.27</v>
      </c>
      <c r="AP13" s="4">
        <v>2.33</v>
      </c>
      <c r="AQ13" s="4">
        <v>3.5</v>
      </c>
      <c r="AR13" s="4">
        <v>0.51</v>
      </c>
      <c r="AS13" s="4">
        <v>9.33</v>
      </c>
      <c r="AT13" s="6">
        <v>60.94</v>
      </c>
      <c r="AU13" s="6">
        <v>401.95</v>
      </c>
      <c r="AW13" s="43"/>
      <c r="AX13" s="45">
        <f t="shared" si="0"/>
        <v>401.95</v>
      </c>
    </row>
    <row r="14" spans="1:50" hidden="1" x14ac:dyDescent="0.25">
      <c r="A14" s="34">
        <v>8</v>
      </c>
      <c r="B14" s="34" t="s">
        <v>115</v>
      </c>
      <c r="C14" s="34"/>
      <c r="D14" s="3" t="s">
        <v>116</v>
      </c>
      <c r="E14" s="3" t="s">
        <v>117</v>
      </c>
      <c r="F14" s="3" t="s">
        <v>118</v>
      </c>
      <c r="G14" s="34" t="s">
        <v>54</v>
      </c>
      <c r="H14" s="34" t="s">
        <v>115</v>
      </c>
      <c r="I14" s="34" t="s">
        <v>55</v>
      </c>
      <c r="J14" s="42">
        <v>30782</v>
      </c>
      <c r="K14" s="3" t="s">
        <v>119</v>
      </c>
      <c r="L14" s="34" t="s">
        <v>57</v>
      </c>
      <c r="M14" s="34" t="s">
        <v>58</v>
      </c>
      <c r="N14" s="34" t="s">
        <v>59</v>
      </c>
      <c r="O14" s="3" t="s">
        <v>60</v>
      </c>
      <c r="P14" s="3" t="s">
        <v>81</v>
      </c>
      <c r="Q14" s="34" t="s">
        <v>82</v>
      </c>
      <c r="R14" s="34" t="s">
        <v>120</v>
      </c>
      <c r="S14" s="3" t="s">
        <v>97</v>
      </c>
      <c r="T14" s="3"/>
      <c r="U14" s="42">
        <v>45950</v>
      </c>
      <c r="V14" s="3"/>
      <c r="W14" s="3"/>
      <c r="X14" s="4">
        <v>11</v>
      </c>
      <c r="Y14" s="5">
        <v>6750</v>
      </c>
      <c r="Z14" s="5">
        <v>141.25</v>
      </c>
      <c r="AA14" s="4">
        <v>2475</v>
      </c>
      <c r="AB14" s="4">
        <v>141.25</v>
      </c>
      <c r="AC14" s="6">
        <v>2616.25</v>
      </c>
      <c r="AD14" s="3"/>
      <c r="AE14" s="4">
        <v>340.11</v>
      </c>
      <c r="AF14" s="4">
        <v>705.61</v>
      </c>
      <c r="AG14" s="3"/>
      <c r="AH14" s="3"/>
      <c r="AI14" s="3"/>
      <c r="AJ14" s="3"/>
      <c r="AK14" s="4">
        <v>13.08</v>
      </c>
      <c r="AL14" s="6">
        <v>1058.8</v>
      </c>
      <c r="AM14" s="4">
        <v>176.6</v>
      </c>
      <c r="AN14" s="4">
        <v>58.87</v>
      </c>
      <c r="AO14" s="4">
        <v>18.309999999999999</v>
      </c>
      <c r="AP14" s="4">
        <v>13.08</v>
      </c>
      <c r="AQ14" s="4">
        <v>19.62</v>
      </c>
      <c r="AR14" s="4">
        <v>4.45</v>
      </c>
      <c r="AS14" s="3"/>
      <c r="AT14" s="6">
        <v>290.93</v>
      </c>
      <c r="AU14" s="6">
        <v>1557.45</v>
      </c>
      <c r="AW14" s="43">
        <v>1557.45</v>
      </c>
      <c r="AX14" s="44">
        <f t="shared" si="0"/>
        <v>0</v>
      </c>
    </row>
    <row r="15" spans="1:50" x14ac:dyDescent="0.25">
      <c r="A15" s="34">
        <v>9</v>
      </c>
      <c r="B15" s="34" t="s">
        <v>121</v>
      </c>
      <c r="C15" s="34" t="s">
        <v>122</v>
      </c>
      <c r="D15" s="46" t="s">
        <v>123</v>
      </c>
      <c r="E15" s="46" t="s">
        <v>124</v>
      </c>
      <c r="F15" s="46" t="s">
        <v>125</v>
      </c>
      <c r="G15" s="34" t="s">
        <v>54</v>
      </c>
      <c r="H15" s="34" t="s">
        <v>121</v>
      </c>
      <c r="I15" s="34" t="s">
        <v>55</v>
      </c>
      <c r="J15" s="42">
        <v>35585</v>
      </c>
      <c r="K15" s="3" t="s">
        <v>126</v>
      </c>
      <c r="L15" s="34" t="s">
        <v>57</v>
      </c>
      <c r="M15" s="34" t="s">
        <v>58</v>
      </c>
      <c r="N15" s="34" t="s">
        <v>59</v>
      </c>
      <c r="O15" s="3" t="s">
        <v>60</v>
      </c>
      <c r="P15" s="3" t="s">
        <v>127</v>
      </c>
      <c r="Q15" s="34" t="s">
        <v>62</v>
      </c>
      <c r="R15" s="34" t="s">
        <v>128</v>
      </c>
      <c r="S15" s="3" t="s">
        <v>73</v>
      </c>
      <c r="T15" s="3" t="s">
        <v>129</v>
      </c>
      <c r="U15" s="48">
        <v>45957</v>
      </c>
      <c r="V15" s="3"/>
      <c r="W15" s="3"/>
      <c r="X15" s="4">
        <v>4</v>
      </c>
      <c r="Y15" s="5">
        <v>6000</v>
      </c>
      <c r="Z15" s="7"/>
      <c r="AA15" s="4">
        <v>800</v>
      </c>
      <c r="AB15" s="3"/>
      <c r="AC15" s="6">
        <v>800</v>
      </c>
      <c r="AD15" s="3"/>
      <c r="AE15" s="3"/>
      <c r="AF15" s="3"/>
      <c r="AG15" s="4">
        <v>80</v>
      </c>
      <c r="AH15" s="3"/>
      <c r="AI15" s="4">
        <v>10.96</v>
      </c>
      <c r="AJ15" s="4">
        <v>16</v>
      </c>
      <c r="AK15" s="4">
        <v>4</v>
      </c>
      <c r="AL15" s="6">
        <v>110.96</v>
      </c>
      <c r="AM15" s="4">
        <v>76.28</v>
      </c>
      <c r="AN15" s="4">
        <v>25.43</v>
      </c>
      <c r="AO15" s="4">
        <v>5.6</v>
      </c>
      <c r="AP15" s="4">
        <v>4</v>
      </c>
      <c r="AQ15" s="4">
        <v>6</v>
      </c>
      <c r="AR15" s="4">
        <v>0.88</v>
      </c>
      <c r="AS15" s="4">
        <v>16</v>
      </c>
      <c r="AT15" s="6">
        <v>134.19</v>
      </c>
      <c r="AU15" s="6">
        <v>689.04</v>
      </c>
      <c r="AW15" s="43"/>
      <c r="AX15" s="45">
        <f t="shared" si="0"/>
        <v>689.04</v>
      </c>
    </row>
    <row r="16" spans="1:50" x14ac:dyDescent="0.25">
      <c r="A16" s="34">
        <v>10</v>
      </c>
      <c r="B16" s="34" t="s">
        <v>130</v>
      </c>
      <c r="C16" s="34" t="s">
        <v>131</v>
      </c>
      <c r="D16" s="46" t="s">
        <v>132</v>
      </c>
      <c r="E16" s="46" t="s">
        <v>133</v>
      </c>
      <c r="F16" s="46" t="s">
        <v>134</v>
      </c>
      <c r="G16" s="34" t="s">
        <v>54</v>
      </c>
      <c r="H16" s="34" t="s">
        <v>130</v>
      </c>
      <c r="I16" s="34" t="s">
        <v>55</v>
      </c>
      <c r="J16" s="42">
        <v>32883</v>
      </c>
      <c r="K16" s="3" t="s">
        <v>112</v>
      </c>
      <c r="L16" s="34" t="s">
        <v>57</v>
      </c>
      <c r="M16" s="34" t="s">
        <v>58</v>
      </c>
      <c r="N16" s="34" t="s">
        <v>59</v>
      </c>
      <c r="O16" s="3" t="s">
        <v>60</v>
      </c>
      <c r="P16" s="3" t="s">
        <v>61</v>
      </c>
      <c r="Q16" s="34" t="s">
        <v>62</v>
      </c>
      <c r="R16" s="34" t="s">
        <v>135</v>
      </c>
      <c r="S16" s="3" t="s">
        <v>136</v>
      </c>
      <c r="T16" s="3" t="s">
        <v>137</v>
      </c>
      <c r="U16" s="48">
        <v>45957</v>
      </c>
      <c r="V16" s="3"/>
      <c r="W16" s="3"/>
      <c r="X16" s="4">
        <v>4</v>
      </c>
      <c r="Y16" s="5">
        <v>3500</v>
      </c>
      <c r="Z16" s="5">
        <v>141.25</v>
      </c>
      <c r="AA16" s="4">
        <v>466.67</v>
      </c>
      <c r="AB16" s="4">
        <v>141.25</v>
      </c>
      <c r="AC16" s="6">
        <v>607.91999999999996</v>
      </c>
      <c r="AD16" s="3"/>
      <c r="AE16" s="3"/>
      <c r="AF16" s="3"/>
      <c r="AG16" s="4">
        <v>60.79</v>
      </c>
      <c r="AH16" s="4">
        <v>10.27</v>
      </c>
      <c r="AI16" s="4">
        <v>8.33</v>
      </c>
      <c r="AJ16" s="4">
        <v>12.16</v>
      </c>
      <c r="AK16" s="4">
        <v>3.04</v>
      </c>
      <c r="AL16" s="6">
        <v>94.59</v>
      </c>
      <c r="AM16" s="4">
        <v>101.7</v>
      </c>
      <c r="AN16" s="3"/>
      <c r="AO16" s="4">
        <v>4.26</v>
      </c>
      <c r="AP16" s="4">
        <v>3.04</v>
      </c>
      <c r="AQ16" s="4">
        <v>4.5599999999999996</v>
      </c>
      <c r="AR16" s="4">
        <v>0.67</v>
      </c>
      <c r="AS16" s="4">
        <v>12.16</v>
      </c>
      <c r="AT16" s="6">
        <v>126.39</v>
      </c>
      <c r="AU16" s="6">
        <v>513.33000000000004</v>
      </c>
      <c r="AW16" s="43"/>
      <c r="AX16" s="45">
        <f t="shared" si="0"/>
        <v>513.33000000000004</v>
      </c>
    </row>
    <row r="17" spans="1:50" x14ac:dyDescent="0.25">
      <c r="A17" s="34">
        <v>11</v>
      </c>
      <c r="B17" s="34" t="s">
        <v>138</v>
      </c>
      <c r="C17" s="34" t="s">
        <v>139</v>
      </c>
      <c r="D17" s="46" t="s">
        <v>140</v>
      </c>
      <c r="E17" s="46" t="s">
        <v>141</v>
      </c>
      <c r="F17" s="46" t="s">
        <v>142</v>
      </c>
      <c r="G17" s="47" t="s">
        <v>54</v>
      </c>
      <c r="H17" s="47" t="s">
        <v>138</v>
      </c>
      <c r="I17" s="47" t="s">
        <v>55</v>
      </c>
      <c r="J17" s="48">
        <v>32866</v>
      </c>
      <c r="K17" s="46" t="s">
        <v>103</v>
      </c>
      <c r="L17" s="47" t="s">
        <v>57</v>
      </c>
      <c r="M17" s="47" t="s">
        <v>58</v>
      </c>
      <c r="N17" s="47" t="s">
        <v>59</v>
      </c>
      <c r="O17" s="46" t="s">
        <v>60</v>
      </c>
      <c r="P17" s="46" t="s">
        <v>143</v>
      </c>
      <c r="Q17" s="47" t="s">
        <v>62</v>
      </c>
      <c r="R17" s="47" t="s">
        <v>144</v>
      </c>
      <c r="S17" s="46" t="s">
        <v>97</v>
      </c>
      <c r="T17" s="46"/>
      <c r="U17" s="48">
        <v>45952</v>
      </c>
      <c r="V17" s="3"/>
      <c r="W17" s="3"/>
      <c r="X17" s="4">
        <v>9</v>
      </c>
      <c r="Y17" s="5">
        <v>6500</v>
      </c>
      <c r="Z17" s="5">
        <v>141.25</v>
      </c>
      <c r="AA17" s="4">
        <v>1950</v>
      </c>
      <c r="AB17" s="4">
        <v>141.25</v>
      </c>
      <c r="AC17" s="6">
        <v>2091.25</v>
      </c>
      <c r="AD17" s="3"/>
      <c r="AE17" s="4">
        <v>271.86</v>
      </c>
      <c r="AF17" s="3"/>
      <c r="AG17" s="3"/>
      <c r="AH17" s="3"/>
      <c r="AI17" s="3"/>
      <c r="AJ17" s="3"/>
      <c r="AK17" s="4">
        <v>10.46</v>
      </c>
      <c r="AL17" s="6">
        <v>282.32</v>
      </c>
      <c r="AM17" s="4">
        <v>141.16</v>
      </c>
      <c r="AN17" s="4">
        <v>47.05</v>
      </c>
      <c r="AO17" s="4">
        <v>14.64</v>
      </c>
      <c r="AP17" s="4">
        <v>10.46</v>
      </c>
      <c r="AQ17" s="4">
        <v>15.68</v>
      </c>
      <c r="AR17" s="4">
        <v>2.2999999999999998</v>
      </c>
      <c r="AS17" s="3"/>
      <c r="AT17" s="6">
        <v>231.29</v>
      </c>
      <c r="AU17" s="6">
        <v>1808.93</v>
      </c>
      <c r="AW17" s="43"/>
      <c r="AX17" s="45">
        <f t="shared" si="0"/>
        <v>1808.93</v>
      </c>
    </row>
    <row r="18" spans="1:50" hidden="1" x14ac:dyDescent="0.25">
      <c r="A18" s="34">
        <v>12</v>
      </c>
      <c r="B18" s="34" t="s">
        <v>145</v>
      </c>
      <c r="C18" s="34" t="s">
        <v>146</v>
      </c>
      <c r="D18" s="3" t="s">
        <v>147</v>
      </c>
      <c r="E18" s="3" t="s">
        <v>148</v>
      </c>
      <c r="F18" s="3" t="s">
        <v>149</v>
      </c>
      <c r="G18" s="34" t="s">
        <v>54</v>
      </c>
      <c r="H18" s="34" t="s">
        <v>145</v>
      </c>
      <c r="I18" s="34" t="s">
        <v>55</v>
      </c>
      <c r="J18" s="42">
        <v>34807</v>
      </c>
      <c r="K18" s="3" t="s">
        <v>150</v>
      </c>
      <c r="L18" s="34" t="s">
        <v>57</v>
      </c>
      <c r="M18" s="34" t="s">
        <v>58</v>
      </c>
      <c r="N18" s="34" t="s">
        <v>59</v>
      </c>
      <c r="O18" s="3" t="s">
        <v>60</v>
      </c>
      <c r="P18" s="3" t="s">
        <v>81</v>
      </c>
      <c r="Q18" s="34" t="s">
        <v>82</v>
      </c>
      <c r="R18" s="34" t="s">
        <v>151</v>
      </c>
      <c r="S18" s="3" t="s">
        <v>152</v>
      </c>
      <c r="T18" s="3" t="s">
        <v>153</v>
      </c>
      <c r="U18" s="42">
        <v>45950</v>
      </c>
      <c r="V18" s="3"/>
      <c r="W18" s="3"/>
      <c r="X18" s="4">
        <v>11</v>
      </c>
      <c r="Y18" s="5">
        <v>6500</v>
      </c>
      <c r="Z18" s="5">
        <v>141.25</v>
      </c>
      <c r="AA18" s="4">
        <v>2383.33</v>
      </c>
      <c r="AB18" s="4">
        <v>141.25</v>
      </c>
      <c r="AC18" s="6">
        <v>2524.58</v>
      </c>
      <c r="AD18" s="3"/>
      <c r="AE18" s="3"/>
      <c r="AF18" s="3"/>
      <c r="AG18" s="4">
        <v>252.46</v>
      </c>
      <c r="AH18" s="3"/>
      <c r="AI18" s="4">
        <v>34.590000000000003</v>
      </c>
      <c r="AJ18" s="4">
        <v>50.49</v>
      </c>
      <c r="AK18" s="4">
        <v>12.62</v>
      </c>
      <c r="AL18" s="6">
        <v>350.16</v>
      </c>
      <c r="AM18" s="4">
        <v>170.41</v>
      </c>
      <c r="AN18" s="4">
        <v>56.8</v>
      </c>
      <c r="AO18" s="4">
        <v>17.670000000000002</v>
      </c>
      <c r="AP18" s="4">
        <v>12.62</v>
      </c>
      <c r="AQ18" s="4">
        <v>18.93</v>
      </c>
      <c r="AR18" s="4">
        <v>2.78</v>
      </c>
      <c r="AS18" s="4">
        <v>50.49</v>
      </c>
      <c r="AT18" s="6">
        <v>329.7</v>
      </c>
      <c r="AU18" s="6">
        <v>2174.42</v>
      </c>
      <c r="AW18" s="43">
        <v>2174.42</v>
      </c>
      <c r="AX18" s="44">
        <f t="shared" si="0"/>
        <v>0</v>
      </c>
    </row>
    <row r="19" spans="1:50" x14ac:dyDescent="0.25">
      <c r="A19" s="34">
        <v>13</v>
      </c>
      <c r="B19" s="34" t="s">
        <v>154</v>
      </c>
      <c r="C19" s="34" t="s">
        <v>155</v>
      </c>
      <c r="D19" s="46" t="s">
        <v>156</v>
      </c>
      <c r="E19" s="46" t="s">
        <v>157</v>
      </c>
      <c r="F19" s="46" t="s">
        <v>158</v>
      </c>
      <c r="G19" s="34" t="s">
        <v>54</v>
      </c>
      <c r="H19" s="34" t="s">
        <v>154</v>
      </c>
      <c r="I19" s="34" t="s">
        <v>55</v>
      </c>
      <c r="J19" s="42">
        <v>32587</v>
      </c>
      <c r="K19" s="3" t="s">
        <v>56</v>
      </c>
      <c r="L19" s="34" t="s">
        <v>57</v>
      </c>
      <c r="M19" s="34" t="s">
        <v>58</v>
      </c>
      <c r="N19" s="34" t="s">
        <v>59</v>
      </c>
      <c r="O19" s="3" t="s">
        <v>60</v>
      </c>
      <c r="P19" s="3" t="s">
        <v>159</v>
      </c>
      <c r="Q19" s="34" t="s">
        <v>62</v>
      </c>
      <c r="R19" s="34" t="s">
        <v>160</v>
      </c>
      <c r="S19" s="3" t="s">
        <v>136</v>
      </c>
      <c r="T19" s="3" t="s">
        <v>161</v>
      </c>
      <c r="U19" s="48">
        <v>45957</v>
      </c>
      <c r="V19" s="3"/>
      <c r="W19" s="3"/>
      <c r="X19" s="4">
        <v>4</v>
      </c>
      <c r="Y19" s="5">
        <v>3400</v>
      </c>
      <c r="Z19" s="7"/>
      <c r="AA19" s="4">
        <v>453.33</v>
      </c>
      <c r="AB19" s="3"/>
      <c r="AC19" s="6">
        <v>453.33</v>
      </c>
      <c r="AD19" s="3"/>
      <c r="AE19" s="3"/>
      <c r="AF19" s="4">
        <v>18.989999999999998</v>
      </c>
      <c r="AG19" s="4">
        <v>45.33</v>
      </c>
      <c r="AH19" s="4">
        <v>7.66</v>
      </c>
      <c r="AI19" s="4">
        <v>6.21</v>
      </c>
      <c r="AJ19" s="4">
        <v>9.07</v>
      </c>
      <c r="AK19" s="4">
        <v>2.27</v>
      </c>
      <c r="AL19" s="6">
        <v>89.53</v>
      </c>
      <c r="AM19" s="4">
        <v>40.799999999999997</v>
      </c>
      <c r="AN19" s="3"/>
      <c r="AO19" s="4">
        <v>3.17</v>
      </c>
      <c r="AP19" s="4">
        <v>2.27</v>
      </c>
      <c r="AQ19" s="4">
        <v>3.4</v>
      </c>
      <c r="AR19" s="4">
        <v>0.5</v>
      </c>
      <c r="AS19" s="4">
        <v>9.07</v>
      </c>
      <c r="AT19" s="6">
        <v>59.21</v>
      </c>
      <c r="AU19" s="6">
        <v>363.8</v>
      </c>
      <c r="AW19" s="43"/>
      <c r="AX19" s="45">
        <f t="shared" si="0"/>
        <v>363.8</v>
      </c>
    </row>
    <row r="20" spans="1:50" x14ac:dyDescent="0.25">
      <c r="A20" s="34">
        <v>14</v>
      </c>
      <c r="B20" s="34" t="s">
        <v>162</v>
      </c>
      <c r="C20" s="34" t="s">
        <v>163</v>
      </c>
      <c r="D20" s="46" t="s">
        <v>164</v>
      </c>
      <c r="E20" s="46" t="s">
        <v>165</v>
      </c>
      <c r="F20" s="46" t="s">
        <v>166</v>
      </c>
      <c r="G20" s="34" t="s">
        <v>54</v>
      </c>
      <c r="H20" s="34" t="s">
        <v>162</v>
      </c>
      <c r="I20" s="34" t="s">
        <v>55</v>
      </c>
      <c r="J20" s="42">
        <v>35027</v>
      </c>
      <c r="K20" s="3" t="s">
        <v>71</v>
      </c>
      <c r="L20" s="34" t="s">
        <v>57</v>
      </c>
      <c r="M20" s="34" t="s">
        <v>58</v>
      </c>
      <c r="N20" s="34" t="s">
        <v>59</v>
      </c>
      <c r="O20" s="3" t="s">
        <v>60</v>
      </c>
      <c r="P20" s="3" t="s">
        <v>61</v>
      </c>
      <c r="Q20" s="34" t="s">
        <v>62</v>
      </c>
      <c r="R20" s="34" t="s">
        <v>167</v>
      </c>
      <c r="S20" s="3" t="s">
        <v>73</v>
      </c>
      <c r="T20" s="3" t="s">
        <v>168</v>
      </c>
      <c r="U20" s="48">
        <v>45957</v>
      </c>
      <c r="V20" s="3"/>
      <c r="W20" s="3"/>
      <c r="X20" s="4">
        <v>4</v>
      </c>
      <c r="Y20" s="5">
        <v>3450</v>
      </c>
      <c r="Z20" s="7"/>
      <c r="AA20" s="4">
        <v>460</v>
      </c>
      <c r="AB20" s="3"/>
      <c r="AC20" s="6">
        <v>460</v>
      </c>
      <c r="AD20" s="3"/>
      <c r="AE20" s="3"/>
      <c r="AF20" s="3"/>
      <c r="AG20" s="4">
        <v>46</v>
      </c>
      <c r="AH20" s="3"/>
      <c r="AI20" s="4">
        <v>6.3</v>
      </c>
      <c r="AJ20" s="4">
        <v>9.1999999999999993</v>
      </c>
      <c r="AK20" s="4">
        <v>2.2999999999999998</v>
      </c>
      <c r="AL20" s="6">
        <v>63.8</v>
      </c>
      <c r="AM20" s="4">
        <v>101.7</v>
      </c>
      <c r="AN20" s="3"/>
      <c r="AO20" s="4">
        <v>3.22</v>
      </c>
      <c r="AP20" s="4">
        <v>2.2999999999999998</v>
      </c>
      <c r="AQ20" s="4">
        <v>3.45</v>
      </c>
      <c r="AR20" s="4">
        <v>0.51</v>
      </c>
      <c r="AS20" s="4">
        <v>9.1999999999999993</v>
      </c>
      <c r="AT20" s="6">
        <v>120.38</v>
      </c>
      <c r="AU20" s="6">
        <v>396.2</v>
      </c>
      <c r="AW20" s="43"/>
      <c r="AX20" s="45">
        <f t="shared" si="0"/>
        <v>396.2</v>
      </c>
    </row>
    <row r="21" spans="1:50" x14ac:dyDescent="0.25">
      <c r="A21" s="34">
        <v>15</v>
      </c>
      <c r="B21" s="34" t="s">
        <v>169</v>
      </c>
      <c r="C21" s="34" t="s">
        <v>170</v>
      </c>
      <c r="D21" s="46" t="s">
        <v>171</v>
      </c>
      <c r="E21" s="46" t="s">
        <v>172</v>
      </c>
      <c r="F21" s="46" t="s">
        <v>173</v>
      </c>
      <c r="G21" s="47" t="s">
        <v>54</v>
      </c>
      <c r="H21" s="47" t="s">
        <v>169</v>
      </c>
      <c r="I21" s="34" t="s">
        <v>111</v>
      </c>
      <c r="J21" s="42">
        <v>32137</v>
      </c>
      <c r="K21" s="3" t="s">
        <v>174</v>
      </c>
      <c r="L21" s="34" t="s">
        <v>57</v>
      </c>
      <c r="M21" s="34" t="s">
        <v>58</v>
      </c>
      <c r="N21" s="34" t="s">
        <v>59</v>
      </c>
      <c r="O21" s="3" t="s">
        <v>60</v>
      </c>
      <c r="P21" s="3" t="s">
        <v>61</v>
      </c>
      <c r="Q21" s="34" t="s">
        <v>62</v>
      </c>
      <c r="R21" s="34" t="s">
        <v>175</v>
      </c>
      <c r="S21" s="3" t="s">
        <v>64</v>
      </c>
      <c r="T21" s="3" t="s">
        <v>176</v>
      </c>
      <c r="U21" s="48">
        <v>45957</v>
      </c>
      <c r="V21" s="3"/>
      <c r="W21" s="3"/>
      <c r="X21" s="4">
        <v>4</v>
      </c>
      <c r="Y21" s="5">
        <v>3200</v>
      </c>
      <c r="Z21" s="7"/>
      <c r="AA21" s="4">
        <v>426.67</v>
      </c>
      <c r="AB21" s="3"/>
      <c r="AC21" s="6">
        <v>426.67</v>
      </c>
      <c r="AD21" s="3"/>
      <c r="AE21" s="3"/>
      <c r="AF21" s="3"/>
      <c r="AG21" s="4">
        <v>42.67</v>
      </c>
      <c r="AH21" s="3"/>
      <c r="AI21" s="4">
        <v>5.85</v>
      </c>
      <c r="AJ21" s="4">
        <v>8.5299999999999994</v>
      </c>
      <c r="AK21" s="4">
        <v>2.13</v>
      </c>
      <c r="AL21" s="6">
        <v>59.18</v>
      </c>
      <c r="AM21" s="4">
        <v>76.28</v>
      </c>
      <c r="AN21" s="4">
        <v>25.43</v>
      </c>
      <c r="AO21" s="4">
        <v>2.99</v>
      </c>
      <c r="AP21" s="4">
        <v>2.13</v>
      </c>
      <c r="AQ21" s="4">
        <v>3.2</v>
      </c>
      <c r="AR21" s="4">
        <v>0.73</v>
      </c>
      <c r="AS21" s="4">
        <v>8.5299999999999994</v>
      </c>
      <c r="AT21" s="6">
        <v>119.29</v>
      </c>
      <c r="AU21" s="6">
        <v>367.49</v>
      </c>
      <c r="AW21" s="43"/>
      <c r="AX21" s="45">
        <f t="shared" si="0"/>
        <v>367.49</v>
      </c>
    </row>
    <row r="22" spans="1:50" x14ac:dyDescent="0.25">
      <c r="A22" s="34">
        <v>16</v>
      </c>
      <c r="B22" s="34" t="s">
        <v>177</v>
      </c>
      <c r="C22" s="34" t="s">
        <v>178</v>
      </c>
      <c r="D22" s="46" t="s">
        <v>179</v>
      </c>
      <c r="E22" s="46" t="s">
        <v>180</v>
      </c>
      <c r="F22" s="46" t="s">
        <v>181</v>
      </c>
      <c r="G22" s="34" t="s">
        <v>54</v>
      </c>
      <c r="H22" s="34" t="s">
        <v>177</v>
      </c>
      <c r="I22" s="34" t="s">
        <v>55</v>
      </c>
      <c r="J22" s="42">
        <v>35158</v>
      </c>
      <c r="K22" s="3" t="s">
        <v>95</v>
      </c>
      <c r="L22" s="34" t="s">
        <v>57</v>
      </c>
      <c r="M22" s="34" t="s">
        <v>58</v>
      </c>
      <c r="N22" s="34" t="s">
        <v>59</v>
      </c>
      <c r="O22" s="3" t="s">
        <v>60</v>
      </c>
      <c r="P22" s="3" t="s">
        <v>61</v>
      </c>
      <c r="Q22" s="34" t="s">
        <v>62</v>
      </c>
      <c r="R22" s="34" t="s">
        <v>182</v>
      </c>
      <c r="S22" s="3" t="s">
        <v>97</v>
      </c>
      <c r="T22" s="3"/>
      <c r="U22" s="48">
        <v>45957</v>
      </c>
      <c r="V22" s="3"/>
      <c r="W22" s="3"/>
      <c r="X22" s="4">
        <v>4</v>
      </c>
      <c r="Y22" s="5">
        <v>3500</v>
      </c>
      <c r="Z22" s="7"/>
      <c r="AA22" s="4">
        <v>466.67</v>
      </c>
      <c r="AB22" s="3"/>
      <c r="AC22" s="6">
        <v>466.67</v>
      </c>
      <c r="AD22" s="3"/>
      <c r="AE22" s="4">
        <v>60.67</v>
      </c>
      <c r="AF22" s="3"/>
      <c r="AG22" s="3"/>
      <c r="AH22" s="3"/>
      <c r="AI22" s="3"/>
      <c r="AJ22" s="3"/>
      <c r="AK22" s="4">
        <v>2.33</v>
      </c>
      <c r="AL22" s="6">
        <v>63</v>
      </c>
      <c r="AM22" s="4">
        <v>101.7</v>
      </c>
      <c r="AN22" s="3"/>
      <c r="AO22" s="4">
        <v>3.27</v>
      </c>
      <c r="AP22" s="4">
        <v>2.33</v>
      </c>
      <c r="AQ22" s="4">
        <v>3.5</v>
      </c>
      <c r="AR22" s="4">
        <v>0.51</v>
      </c>
      <c r="AS22" s="3"/>
      <c r="AT22" s="6">
        <v>111.31</v>
      </c>
      <c r="AU22" s="6">
        <v>403.67</v>
      </c>
      <c r="AW22" s="43"/>
      <c r="AX22" s="45">
        <f t="shared" si="0"/>
        <v>403.67</v>
      </c>
    </row>
    <row r="23" spans="1:50" x14ac:dyDescent="0.25">
      <c r="A23" s="34">
        <v>17</v>
      </c>
      <c r="B23" s="34" t="s">
        <v>183</v>
      </c>
      <c r="C23" s="34" t="s">
        <v>184</v>
      </c>
      <c r="D23" s="46" t="s">
        <v>185</v>
      </c>
      <c r="E23" s="46" t="s">
        <v>186</v>
      </c>
      <c r="F23" s="46" t="s">
        <v>187</v>
      </c>
      <c r="G23" s="34" t="s">
        <v>54</v>
      </c>
      <c r="H23" s="34" t="s">
        <v>183</v>
      </c>
      <c r="I23" s="34" t="s">
        <v>55</v>
      </c>
      <c r="J23" s="42">
        <v>33624</v>
      </c>
      <c r="K23" s="3" t="s">
        <v>56</v>
      </c>
      <c r="L23" s="34" t="s">
        <v>57</v>
      </c>
      <c r="M23" s="34" t="s">
        <v>58</v>
      </c>
      <c r="N23" s="34" t="s">
        <v>59</v>
      </c>
      <c r="O23" s="3" t="s">
        <v>60</v>
      </c>
      <c r="P23" s="3" t="s">
        <v>81</v>
      </c>
      <c r="Q23" s="34" t="s">
        <v>82</v>
      </c>
      <c r="R23" s="34" t="s">
        <v>188</v>
      </c>
      <c r="S23" s="3" t="s">
        <v>73</v>
      </c>
      <c r="T23" s="3" t="s">
        <v>189</v>
      </c>
      <c r="U23" s="48">
        <v>45957</v>
      </c>
      <c r="V23" s="3"/>
      <c r="W23" s="3"/>
      <c r="X23" s="4">
        <v>4</v>
      </c>
      <c r="Y23" s="5">
        <v>3400</v>
      </c>
      <c r="Z23" s="7"/>
      <c r="AA23" s="4">
        <v>453.33</v>
      </c>
      <c r="AB23" s="3"/>
      <c r="AC23" s="6">
        <v>453.33</v>
      </c>
      <c r="AD23" s="3"/>
      <c r="AE23" s="3"/>
      <c r="AF23" s="3"/>
      <c r="AG23" s="4">
        <v>45.33</v>
      </c>
      <c r="AH23" s="3"/>
      <c r="AI23" s="4">
        <v>6.21</v>
      </c>
      <c r="AJ23" s="4">
        <v>9.07</v>
      </c>
      <c r="AK23" s="4">
        <v>2.27</v>
      </c>
      <c r="AL23" s="6">
        <v>62.88</v>
      </c>
      <c r="AM23" s="4">
        <v>101.7</v>
      </c>
      <c r="AN23" s="3"/>
      <c r="AO23" s="4">
        <v>3.17</v>
      </c>
      <c r="AP23" s="4">
        <v>2.27</v>
      </c>
      <c r="AQ23" s="4">
        <v>3.4</v>
      </c>
      <c r="AR23" s="4">
        <v>0.5</v>
      </c>
      <c r="AS23" s="4">
        <v>9.07</v>
      </c>
      <c r="AT23" s="6">
        <v>120.11</v>
      </c>
      <c r="AU23" s="6">
        <v>390.45</v>
      </c>
      <c r="AW23" s="43"/>
      <c r="AX23" s="45">
        <f t="shared" si="0"/>
        <v>390.45</v>
      </c>
    </row>
    <row r="24" spans="1:50" hidden="1" x14ac:dyDescent="0.25">
      <c r="A24" s="34">
        <v>18</v>
      </c>
      <c r="B24" s="34" t="s">
        <v>190</v>
      </c>
      <c r="C24" s="34" t="s">
        <v>191</v>
      </c>
      <c r="D24" s="3" t="s">
        <v>192</v>
      </c>
      <c r="E24" s="3" t="s">
        <v>193</v>
      </c>
      <c r="F24" s="3" t="s">
        <v>194</v>
      </c>
      <c r="G24" s="34" t="s">
        <v>54</v>
      </c>
      <c r="H24" s="34" t="s">
        <v>190</v>
      </c>
      <c r="I24" s="34" t="s">
        <v>55</v>
      </c>
      <c r="J24" s="42">
        <v>32874</v>
      </c>
      <c r="K24" s="3" t="s">
        <v>95</v>
      </c>
      <c r="L24" s="34" t="s">
        <v>57</v>
      </c>
      <c r="M24" s="34" t="s">
        <v>58</v>
      </c>
      <c r="N24" s="34" t="s">
        <v>59</v>
      </c>
      <c r="O24" s="3" t="s">
        <v>60</v>
      </c>
      <c r="P24" s="3" t="s">
        <v>61</v>
      </c>
      <c r="Q24" s="34" t="s">
        <v>62</v>
      </c>
      <c r="R24" s="34" t="s">
        <v>195</v>
      </c>
      <c r="S24" s="3" t="s">
        <v>73</v>
      </c>
      <c r="T24" s="3" t="s">
        <v>196</v>
      </c>
      <c r="U24" s="42">
        <v>45950</v>
      </c>
      <c r="V24" s="3"/>
      <c r="W24" s="3"/>
      <c r="X24" s="4">
        <v>11</v>
      </c>
      <c r="Y24" s="5">
        <v>3500</v>
      </c>
      <c r="Z24" s="5">
        <v>141.25</v>
      </c>
      <c r="AA24" s="4">
        <v>1283.33</v>
      </c>
      <c r="AB24" s="4">
        <v>141.25</v>
      </c>
      <c r="AC24" s="6">
        <v>1424.58</v>
      </c>
      <c r="AD24" s="3"/>
      <c r="AE24" s="3"/>
      <c r="AF24" s="3"/>
      <c r="AG24" s="4">
        <v>142.46</v>
      </c>
      <c r="AH24" s="4">
        <v>22.08</v>
      </c>
      <c r="AI24" s="4">
        <v>19.52</v>
      </c>
      <c r="AJ24" s="4">
        <v>28.49</v>
      </c>
      <c r="AK24" s="4">
        <v>7.12</v>
      </c>
      <c r="AL24" s="6">
        <v>219.67</v>
      </c>
      <c r="AM24" s="4">
        <v>128.21</v>
      </c>
      <c r="AN24" s="3"/>
      <c r="AO24" s="4">
        <v>9.9700000000000006</v>
      </c>
      <c r="AP24" s="4">
        <v>7.12</v>
      </c>
      <c r="AQ24" s="4">
        <v>10.68</v>
      </c>
      <c r="AR24" s="4">
        <v>1.57</v>
      </c>
      <c r="AS24" s="4">
        <v>28.49</v>
      </c>
      <c r="AT24" s="6">
        <v>186.04</v>
      </c>
      <c r="AU24" s="6">
        <v>1204.9100000000001</v>
      </c>
      <c r="AW24" s="43">
        <v>1204.9100000000001</v>
      </c>
      <c r="AX24" s="44">
        <f t="shared" si="0"/>
        <v>0</v>
      </c>
    </row>
    <row r="25" spans="1:50" x14ac:dyDescent="0.25">
      <c r="A25" s="34">
        <v>19</v>
      </c>
      <c r="B25" s="34" t="s">
        <v>197</v>
      </c>
      <c r="C25" s="34" t="s">
        <v>198</v>
      </c>
      <c r="D25" s="46" t="s">
        <v>199</v>
      </c>
      <c r="E25" s="46" t="s">
        <v>200</v>
      </c>
      <c r="F25" s="46" t="s">
        <v>118</v>
      </c>
      <c r="G25" s="34" t="s">
        <v>54</v>
      </c>
      <c r="H25" s="34" t="s">
        <v>197</v>
      </c>
      <c r="I25" s="34" t="s">
        <v>55</v>
      </c>
      <c r="J25" s="42">
        <v>34104</v>
      </c>
      <c r="K25" s="3" t="s">
        <v>56</v>
      </c>
      <c r="L25" s="34" t="s">
        <v>57</v>
      </c>
      <c r="M25" s="34" t="s">
        <v>58</v>
      </c>
      <c r="N25" s="34" t="s">
        <v>59</v>
      </c>
      <c r="O25" s="3" t="s">
        <v>60</v>
      </c>
      <c r="P25" s="3" t="s">
        <v>81</v>
      </c>
      <c r="Q25" s="34" t="s">
        <v>82</v>
      </c>
      <c r="R25" s="34" t="s">
        <v>201</v>
      </c>
      <c r="S25" s="3" t="s">
        <v>97</v>
      </c>
      <c r="T25" s="3"/>
      <c r="U25" s="48">
        <v>45957</v>
      </c>
      <c r="V25" s="3"/>
      <c r="W25" s="3"/>
      <c r="X25" s="4">
        <v>4</v>
      </c>
      <c r="Y25" s="5">
        <v>3400</v>
      </c>
      <c r="Z25" s="5">
        <v>141.25</v>
      </c>
      <c r="AA25" s="4">
        <v>453.33</v>
      </c>
      <c r="AB25" s="4">
        <v>141.25</v>
      </c>
      <c r="AC25" s="6">
        <v>594.58000000000004</v>
      </c>
      <c r="AD25" s="3"/>
      <c r="AE25" s="4">
        <v>77.3</v>
      </c>
      <c r="AF25" s="3"/>
      <c r="AG25" s="3"/>
      <c r="AH25" s="3"/>
      <c r="AI25" s="3"/>
      <c r="AJ25" s="3"/>
      <c r="AK25" s="4">
        <v>2.97</v>
      </c>
      <c r="AL25" s="6">
        <v>80.27</v>
      </c>
      <c r="AM25" s="4">
        <v>101.7</v>
      </c>
      <c r="AN25" s="3"/>
      <c r="AO25" s="4">
        <v>4.16</v>
      </c>
      <c r="AP25" s="4">
        <v>2.97</v>
      </c>
      <c r="AQ25" s="4">
        <v>4.46</v>
      </c>
      <c r="AR25" s="4">
        <v>0.65</v>
      </c>
      <c r="AS25" s="3"/>
      <c r="AT25" s="6">
        <v>113.94</v>
      </c>
      <c r="AU25" s="6">
        <v>514.30999999999995</v>
      </c>
      <c r="AW25" s="43"/>
      <c r="AX25" s="45">
        <f t="shared" si="0"/>
        <v>514.30999999999995</v>
      </c>
    </row>
    <row r="26" spans="1:50" x14ac:dyDescent="0.25">
      <c r="A26" s="8"/>
      <c r="B26" s="8"/>
      <c r="C26" s="8"/>
      <c r="D26" s="8"/>
      <c r="E26" s="8"/>
      <c r="F26" s="8"/>
      <c r="G26" s="41"/>
      <c r="H26" s="41"/>
      <c r="I26" s="41"/>
      <c r="J26" s="41"/>
      <c r="K26" s="8"/>
      <c r="L26" s="41"/>
      <c r="M26" s="41"/>
      <c r="N26" s="41"/>
      <c r="O26" s="8"/>
      <c r="P26" s="8"/>
      <c r="Q26" s="41"/>
      <c r="R26" s="41"/>
      <c r="S26" s="8"/>
      <c r="T26" s="8"/>
      <c r="U26" s="41"/>
      <c r="V26" s="8"/>
      <c r="W26" s="8"/>
      <c r="X26" s="9">
        <f t="shared" ref="X26:AB26" si="1">SUM(X7:X25)</f>
        <v>123</v>
      </c>
      <c r="Y26" s="10">
        <f t="shared" si="1"/>
        <v>80350</v>
      </c>
      <c r="Z26" s="10">
        <f t="shared" si="1"/>
        <v>1412.5</v>
      </c>
      <c r="AA26" s="9">
        <f t="shared" si="1"/>
        <v>20255</v>
      </c>
      <c r="AB26" s="9">
        <f t="shared" si="1"/>
        <v>1412.5</v>
      </c>
      <c r="AC26" s="9">
        <f t="shared" ref="AC26:AX26" si="2">SUM(AC7:AC25)</f>
        <v>21667.5</v>
      </c>
      <c r="AD26" s="9">
        <f t="shared" si="2"/>
        <v>2166.67</v>
      </c>
      <c r="AE26" s="9">
        <f t="shared" si="2"/>
        <v>828.96999999999991</v>
      </c>
      <c r="AF26" s="9">
        <f t="shared" si="2"/>
        <v>1243.5800000000002</v>
      </c>
      <c r="AG26" s="9">
        <f t="shared" si="2"/>
        <v>1529.1</v>
      </c>
      <c r="AH26" s="9">
        <f t="shared" si="2"/>
        <v>40.01</v>
      </c>
      <c r="AI26" s="9">
        <f t="shared" si="2"/>
        <v>209.50000000000003</v>
      </c>
      <c r="AJ26" s="9">
        <f t="shared" si="2"/>
        <v>305.82</v>
      </c>
      <c r="AK26" s="9">
        <f t="shared" si="2"/>
        <v>108.32999999999998</v>
      </c>
      <c r="AL26" s="9">
        <f t="shared" si="2"/>
        <v>6431.9800000000005</v>
      </c>
      <c r="AM26" s="9">
        <f t="shared" si="2"/>
        <v>2356.2399999999998</v>
      </c>
      <c r="AN26" s="9">
        <f t="shared" si="2"/>
        <v>213.57999999999998</v>
      </c>
      <c r="AO26" s="9">
        <f t="shared" si="2"/>
        <v>151.68</v>
      </c>
      <c r="AP26" s="9">
        <f t="shared" si="2"/>
        <v>108.32999999999998</v>
      </c>
      <c r="AQ26" s="9">
        <f t="shared" si="2"/>
        <v>162.50000000000003</v>
      </c>
      <c r="AR26" s="9">
        <f t="shared" si="2"/>
        <v>30.000000000000007</v>
      </c>
      <c r="AS26" s="9">
        <f t="shared" si="2"/>
        <v>305.82</v>
      </c>
      <c r="AT26" s="9">
        <f t="shared" si="2"/>
        <v>3328.15</v>
      </c>
      <c r="AU26" s="9">
        <f t="shared" si="2"/>
        <v>15235.519999999999</v>
      </c>
      <c r="AW26" s="9">
        <f t="shared" si="2"/>
        <v>7233.24</v>
      </c>
      <c r="AX26" s="9">
        <f t="shared" si="2"/>
        <v>8002.2799999999988</v>
      </c>
    </row>
    <row r="27" spans="1:50" ht="11" thickBot="1" x14ac:dyDescent="0.3"/>
    <row r="28" spans="1:50" ht="15.75" customHeight="1" thickBot="1" x14ac:dyDescent="0.3">
      <c r="B28" s="61" t="s">
        <v>202</v>
      </c>
      <c r="C28" s="62"/>
      <c r="D28" s="63"/>
    </row>
    <row r="29" spans="1:50" x14ac:dyDescent="0.25">
      <c r="B29" s="12" t="s">
        <v>203</v>
      </c>
      <c r="C29" s="13"/>
      <c r="D29" s="14">
        <v>0</v>
      </c>
      <c r="AS29" s="15" t="s">
        <v>204</v>
      </c>
      <c r="AT29" s="16"/>
      <c r="AU29" s="17" t="s">
        <v>205</v>
      </c>
    </row>
    <row r="30" spans="1:50" x14ac:dyDescent="0.25">
      <c r="B30" s="18" t="s">
        <v>206</v>
      </c>
      <c r="C30" s="19"/>
      <c r="D30" s="20">
        <f>4+15</f>
        <v>19</v>
      </c>
      <c r="AS30" s="21" t="s">
        <v>207</v>
      </c>
      <c r="AT30" s="22" t="s">
        <v>62</v>
      </c>
      <c r="AU30" s="23">
        <f>+SUMIF($Q$7:$Q$25,AT30,$AU$7:$AU$25)-AU32</f>
        <v>7784.59</v>
      </c>
    </row>
    <row r="31" spans="1:50" x14ac:dyDescent="0.25">
      <c r="B31" s="18" t="s">
        <v>208</v>
      </c>
      <c r="C31" s="19"/>
      <c r="D31" s="20">
        <v>0</v>
      </c>
      <c r="AS31" s="21" t="s">
        <v>209</v>
      </c>
      <c r="AT31" s="22" t="s">
        <v>82</v>
      </c>
      <c r="AU31" s="23">
        <f>+SUMIF($Q$7:$Q$25,AT31,$AU$7:$AU$25)-AU33</f>
        <v>7450.93</v>
      </c>
    </row>
    <row r="32" spans="1:50" x14ac:dyDescent="0.25">
      <c r="B32" s="18" t="s">
        <v>210</v>
      </c>
      <c r="C32" s="19"/>
      <c r="D32" s="24">
        <v>0</v>
      </c>
      <c r="AS32" s="25" t="s">
        <v>211</v>
      </c>
      <c r="AT32" s="26" t="s">
        <v>62</v>
      </c>
      <c r="AU32" s="27"/>
    </row>
    <row r="33" spans="2:47" x14ac:dyDescent="0.25">
      <c r="B33" s="18" t="s">
        <v>212</v>
      </c>
      <c r="C33" s="19"/>
      <c r="D33" s="24">
        <v>0</v>
      </c>
      <c r="AS33" s="25" t="s">
        <v>211</v>
      </c>
      <c r="AT33" s="26" t="s">
        <v>82</v>
      </c>
      <c r="AU33" s="28"/>
    </row>
    <row r="34" spans="2:47" ht="11" thickBot="1" x14ac:dyDescent="0.3">
      <c r="B34" s="29" t="s">
        <v>213</v>
      </c>
      <c r="C34" s="30"/>
      <c r="D34" s="31">
        <f>+D29+D30-D31+D32-D33</f>
        <v>19</v>
      </c>
      <c r="AS34" s="32" t="s">
        <v>214</v>
      </c>
      <c r="AT34" s="11"/>
      <c r="AU34" s="33">
        <f>SUM(AU30:AU33)</f>
        <v>15235.52</v>
      </c>
    </row>
  </sheetData>
  <autoFilter ref="A6:AX26" xr:uid="{18771389-BBAD-40FD-B9B5-EFDD09577BC9}">
    <filterColumn colId="48">
      <filters>
        <filter val="#N/D"/>
      </filters>
    </filterColumn>
  </autoFilter>
  <mergeCells count="1">
    <mergeCell ref="B28:D28"/>
  </mergeCells>
  <pageMargins left="0.75" right="0.75" top="0.75" bottom="0.5" header="0.5" footer="0.75"/>
  <pageSetup orientation="portrait" r:id="rId1"/>
  <headerFooter>
    <oddHeader>&amp;C&amp;"Calibri"&amp;10&amp;K317100 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B633-420B-4DA0-87C4-F5E06D531774}">
  <dimension ref="A3:L33"/>
  <sheetViews>
    <sheetView workbookViewId="0">
      <pane xSplit="5" ySplit="6" topLeftCell="F7" activePane="bottomRight" state="frozen"/>
      <selection pane="topRight" activeCell="I1" sqref="I1"/>
      <selection pane="bottomLeft" activeCell="A7" sqref="A7"/>
      <selection pane="bottomRight" activeCell="K25" sqref="K25"/>
    </sheetView>
  </sheetViews>
  <sheetFormatPr baseColWidth="10" defaultColWidth="9.08984375" defaultRowHeight="10.5" x14ac:dyDescent="0.25"/>
  <cols>
    <col min="1" max="1" width="10.36328125" style="2" customWidth="1"/>
    <col min="2" max="2" width="11" style="2" customWidth="1"/>
    <col min="3" max="3" width="12.81640625" style="2" bestFit="1" customWidth="1"/>
    <col min="4" max="4" width="13.1796875" style="2" bestFit="1" customWidth="1"/>
    <col min="5" max="5" width="12" style="2" customWidth="1"/>
    <col min="6" max="6" width="7.54296875" style="40" customWidth="1"/>
    <col min="7" max="7" width="19.1796875" style="40" customWidth="1"/>
    <col min="8" max="9" width="9.08984375" style="2"/>
    <col min="10" max="10" width="12.453125" style="2" bestFit="1" customWidth="1"/>
    <col min="11" max="16384" width="9.08984375" style="2"/>
  </cols>
  <sheetData>
    <row r="3" spans="1:8" x14ac:dyDescent="0.25">
      <c r="A3" s="1" t="s">
        <v>0</v>
      </c>
    </row>
    <row r="4" spans="1:8" x14ac:dyDescent="0.25">
      <c r="A4" s="1" t="s">
        <v>1</v>
      </c>
    </row>
    <row r="6" spans="1:8" s="39" customFormat="1" ht="21" x14ac:dyDescent="0.35">
      <c r="A6" s="36" t="s">
        <v>3</v>
      </c>
      <c r="B6" s="36" t="s">
        <v>4</v>
      </c>
      <c r="C6" s="36" t="s">
        <v>5</v>
      </c>
      <c r="D6" s="36" t="s">
        <v>6</v>
      </c>
      <c r="E6" s="36" t="s">
        <v>7</v>
      </c>
      <c r="F6" s="36" t="s">
        <v>18</v>
      </c>
      <c r="G6" s="36" t="s">
        <v>19</v>
      </c>
      <c r="H6" s="50" t="s">
        <v>216</v>
      </c>
    </row>
    <row r="7" spans="1:8" x14ac:dyDescent="0.25">
      <c r="A7" s="34" t="s">
        <v>49</v>
      </c>
      <c r="B7" s="34" t="s">
        <v>50</v>
      </c>
      <c r="C7" s="3" t="s">
        <v>51</v>
      </c>
      <c r="D7" s="3" t="s">
        <v>52</v>
      </c>
      <c r="E7" s="3" t="s">
        <v>53</v>
      </c>
      <c r="F7" s="34" t="s">
        <v>62</v>
      </c>
      <c r="G7" s="49" t="s">
        <v>63</v>
      </c>
      <c r="H7" s="52">
        <v>195.38</v>
      </c>
    </row>
    <row r="8" spans="1:8" x14ac:dyDescent="0.25">
      <c r="A8" s="34" t="s">
        <v>66</v>
      </c>
      <c r="B8" s="34" t="s">
        <v>67</v>
      </c>
      <c r="C8" s="3" t="s">
        <v>68</v>
      </c>
      <c r="D8" s="3" t="s">
        <v>69</v>
      </c>
      <c r="E8" s="3" t="s">
        <v>70</v>
      </c>
      <c r="F8" s="34" t="s">
        <v>62</v>
      </c>
      <c r="G8" s="49" t="s">
        <v>72</v>
      </c>
      <c r="H8" s="52">
        <v>396.2</v>
      </c>
    </row>
    <row r="9" spans="1:8" x14ac:dyDescent="0.25">
      <c r="A9" s="34" t="s">
        <v>85</v>
      </c>
      <c r="B9" s="34" t="s">
        <v>86</v>
      </c>
      <c r="C9" s="3" t="s">
        <v>87</v>
      </c>
      <c r="D9" s="3" t="s">
        <v>88</v>
      </c>
      <c r="E9" s="3" t="s">
        <v>89</v>
      </c>
      <c r="F9" s="34" t="s">
        <v>62</v>
      </c>
      <c r="G9" s="49" t="s">
        <v>90</v>
      </c>
      <c r="H9" s="52">
        <v>517.84</v>
      </c>
    </row>
    <row r="10" spans="1:8" x14ac:dyDescent="0.25">
      <c r="A10" s="34" t="s">
        <v>92</v>
      </c>
      <c r="B10" s="34" t="s">
        <v>93</v>
      </c>
      <c r="C10" s="3" t="s">
        <v>87</v>
      </c>
      <c r="D10" s="3" t="s">
        <v>87</v>
      </c>
      <c r="E10" s="3" t="s">
        <v>94</v>
      </c>
      <c r="F10" s="34" t="s">
        <v>62</v>
      </c>
      <c r="G10" s="49" t="s">
        <v>96</v>
      </c>
      <c r="H10" s="52">
        <v>525.85</v>
      </c>
    </row>
    <row r="11" spans="1:8" x14ac:dyDescent="0.25">
      <c r="A11" s="34" t="s">
        <v>106</v>
      </c>
      <c r="B11" s="34" t="s">
        <v>107</v>
      </c>
      <c r="C11" s="3" t="s">
        <v>108</v>
      </c>
      <c r="D11" s="3" t="s">
        <v>109</v>
      </c>
      <c r="E11" s="3" t="s">
        <v>110</v>
      </c>
      <c r="F11" s="34" t="s">
        <v>62</v>
      </c>
      <c r="G11" s="49" t="s">
        <v>113</v>
      </c>
      <c r="H11" s="52">
        <v>401.95</v>
      </c>
    </row>
    <row r="12" spans="1:8" x14ac:dyDescent="0.25">
      <c r="A12" s="34" t="s">
        <v>121</v>
      </c>
      <c r="B12" s="34" t="s">
        <v>122</v>
      </c>
      <c r="C12" s="3" t="s">
        <v>123</v>
      </c>
      <c r="D12" s="3" t="s">
        <v>124</v>
      </c>
      <c r="E12" s="3" t="s">
        <v>125</v>
      </c>
      <c r="F12" s="34" t="s">
        <v>62</v>
      </c>
      <c r="G12" s="49" t="s">
        <v>128</v>
      </c>
      <c r="H12" s="52">
        <v>689.04</v>
      </c>
    </row>
    <row r="13" spans="1:8" x14ac:dyDescent="0.25">
      <c r="A13" s="34" t="s">
        <v>130</v>
      </c>
      <c r="B13" s="34" t="s">
        <v>131</v>
      </c>
      <c r="C13" s="3" t="s">
        <v>132</v>
      </c>
      <c r="D13" s="3" t="s">
        <v>133</v>
      </c>
      <c r="E13" s="3" t="s">
        <v>134</v>
      </c>
      <c r="F13" s="34" t="s">
        <v>62</v>
      </c>
      <c r="G13" s="49" t="s">
        <v>135</v>
      </c>
      <c r="H13" s="52">
        <v>513.33000000000004</v>
      </c>
    </row>
    <row r="14" spans="1:8" x14ac:dyDescent="0.25">
      <c r="A14" s="34" t="s">
        <v>138</v>
      </c>
      <c r="B14" s="34" t="s">
        <v>139</v>
      </c>
      <c r="C14" s="3" t="s">
        <v>140</v>
      </c>
      <c r="D14" s="3" t="s">
        <v>141</v>
      </c>
      <c r="E14" s="3" t="s">
        <v>142</v>
      </c>
      <c r="F14" s="34" t="s">
        <v>62</v>
      </c>
      <c r="G14" s="49" t="s">
        <v>144</v>
      </c>
      <c r="H14" s="52">
        <v>1808.93</v>
      </c>
    </row>
    <row r="15" spans="1:8" x14ac:dyDescent="0.25">
      <c r="A15" s="34" t="s">
        <v>154</v>
      </c>
      <c r="B15" s="34" t="s">
        <v>155</v>
      </c>
      <c r="C15" s="3" t="s">
        <v>156</v>
      </c>
      <c r="D15" s="3" t="s">
        <v>157</v>
      </c>
      <c r="E15" s="3" t="s">
        <v>158</v>
      </c>
      <c r="F15" s="34" t="s">
        <v>62</v>
      </c>
      <c r="G15" s="49" t="s">
        <v>160</v>
      </c>
      <c r="H15" s="52">
        <v>363.8</v>
      </c>
    </row>
    <row r="16" spans="1:8" x14ac:dyDescent="0.25">
      <c r="A16" s="34" t="s">
        <v>162</v>
      </c>
      <c r="B16" s="34" t="s">
        <v>163</v>
      </c>
      <c r="C16" s="3" t="s">
        <v>164</v>
      </c>
      <c r="D16" s="3" t="s">
        <v>165</v>
      </c>
      <c r="E16" s="3" t="s">
        <v>166</v>
      </c>
      <c r="F16" s="34" t="s">
        <v>62</v>
      </c>
      <c r="G16" s="49" t="s">
        <v>167</v>
      </c>
      <c r="H16" s="52">
        <v>396.2</v>
      </c>
    </row>
    <row r="17" spans="1:12" x14ac:dyDescent="0.25">
      <c r="A17" s="34" t="s">
        <v>169</v>
      </c>
      <c r="B17" s="34" t="s">
        <v>170</v>
      </c>
      <c r="C17" s="3" t="s">
        <v>171</v>
      </c>
      <c r="D17" s="3" t="s">
        <v>172</v>
      </c>
      <c r="E17" s="3" t="s">
        <v>173</v>
      </c>
      <c r="F17" s="34" t="s">
        <v>62</v>
      </c>
      <c r="G17" s="49" t="s">
        <v>175</v>
      </c>
      <c r="H17" s="52">
        <v>367.49</v>
      </c>
    </row>
    <row r="18" spans="1:12" x14ac:dyDescent="0.25">
      <c r="A18" s="34" t="s">
        <v>177</v>
      </c>
      <c r="B18" s="34" t="s">
        <v>178</v>
      </c>
      <c r="C18" s="3" t="s">
        <v>179</v>
      </c>
      <c r="D18" s="3" t="s">
        <v>180</v>
      </c>
      <c r="E18" s="3" t="s">
        <v>181</v>
      </c>
      <c r="F18" s="34" t="s">
        <v>62</v>
      </c>
      <c r="G18" s="49" t="s">
        <v>182</v>
      </c>
      <c r="H18" s="52">
        <v>403.67</v>
      </c>
    </row>
    <row r="19" spans="1:12" x14ac:dyDescent="0.25">
      <c r="A19" s="64"/>
      <c r="B19" s="65"/>
      <c r="C19" s="65"/>
      <c r="D19" s="65"/>
      <c r="E19" s="65"/>
      <c r="F19" s="65"/>
      <c r="G19" s="66"/>
      <c r="H19" s="51">
        <f>SUM(H7:H18)</f>
        <v>6579.68</v>
      </c>
    </row>
    <row r="22" spans="1:12" ht="21" x14ac:dyDescent="0.25">
      <c r="A22" s="36" t="s">
        <v>3</v>
      </c>
      <c r="B22" s="36" t="s">
        <v>4</v>
      </c>
      <c r="C22" s="36" t="s">
        <v>5</v>
      </c>
      <c r="D22" s="36" t="s">
        <v>6</v>
      </c>
      <c r="E22" s="36" t="s">
        <v>7</v>
      </c>
      <c r="F22" s="36" t="s">
        <v>18</v>
      </c>
      <c r="G22" s="36" t="s">
        <v>19</v>
      </c>
      <c r="H22" s="50" t="s">
        <v>216</v>
      </c>
    </row>
    <row r="23" spans="1:12" x14ac:dyDescent="0.25">
      <c r="A23" s="34" t="s">
        <v>75</v>
      </c>
      <c r="B23" s="34" t="s">
        <v>76</v>
      </c>
      <c r="C23" s="3" t="s">
        <v>77</v>
      </c>
      <c r="D23" s="3" t="s">
        <v>78</v>
      </c>
      <c r="E23" s="3" t="s">
        <v>79</v>
      </c>
      <c r="F23" s="34" t="s">
        <v>82</v>
      </c>
      <c r="G23" s="49" t="s">
        <v>83</v>
      </c>
      <c r="H23" s="52">
        <v>517.84</v>
      </c>
    </row>
    <row r="24" spans="1:12" x14ac:dyDescent="0.25">
      <c r="A24" s="34" t="s">
        <v>183</v>
      </c>
      <c r="B24" s="34" t="s">
        <v>184</v>
      </c>
      <c r="C24" s="3" t="s">
        <v>185</v>
      </c>
      <c r="D24" s="3" t="s">
        <v>186</v>
      </c>
      <c r="E24" s="3" t="s">
        <v>187</v>
      </c>
      <c r="F24" s="34" t="s">
        <v>82</v>
      </c>
      <c r="G24" s="49" t="s">
        <v>188</v>
      </c>
      <c r="H24" s="52">
        <v>390.45</v>
      </c>
    </row>
    <row r="25" spans="1:12" x14ac:dyDescent="0.25">
      <c r="A25" s="34" t="s">
        <v>197</v>
      </c>
      <c r="B25" s="34" t="s">
        <v>198</v>
      </c>
      <c r="C25" s="3" t="s">
        <v>199</v>
      </c>
      <c r="D25" s="3" t="s">
        <v>200</v>
      </c>
      <c r="E25" s="3" t="s">
        <v>118</v>
      </c>
      <c r="F25" s="34" t="s">
        <v>82</v>
      </c>
      <c r="G25" s="49" t="s">
        <v>201</v>
      </c>
      <c r="H25" s="52">
        <v>514.30999999999995</v>
      </c>
    </row>
    <row r="26" spans="1:12" x14ac:dyDescent="0.25">
      <c r="A26" s="64"/>
      <c r="B26" s="65"/>
      <c r="C26" s="65"/>
      <c r="D26" s="65"/>
      <c r="E26" s="65"/>
      <c r="F26" s="65"/>
      <c r="G26" s="66"/>
      <c r="H26" s="51">
        <f>SUM(H23:H25)</f>
        <v>1422.6</v>
      </c>
    </row>
    <row r="28" spans="1:12" x14ac:dyDescent="0.25">
      <c r="A28" s="64"/>
      <c r="B28" s="65"/>
      <c r="C28" s="65"/>
      <c r="D28" s="65"/>
      <c r="E28" s="65"/>
      <c r="F28" s="65"/>
      <c r="G28" s="65"/>
      <c r="H28" s="53">
        <f>+H26+H19</f>
        <v>8002.2800000000007</v>
      </c>
    </row>
    <row r="30" spans="1:12" x14ac:dyDescent="0.25">
      <c r="J30" s="54" t="s">
        <v>217</v>
      </c>
      <c r="K30" s="54" t="s">
        <v>218</v>
      </c>
      <c r="L30" s="54" t="s">
        <v>219</v>
      </c>
    </row>
    <row r="31" spans="1:12" x14ac:dyDescent="0.25">
      <c r="J31" s="55" t="s">
        <v>220</v>
      </c>
      <c r="K31" s="56">
        <v>12</v>
      </c>
      <c r="L31" s="57">
        <f>+H19</f>
        <v>6579.68</v>
      </c>
    </row>
    <row r="32" spans="1:12" x14ac:dyDescent="0.25">
      <c r="J32" s="55" t="s">
        <v>221</v>
      </c>
      <c r="K32" s="56">
        <v>3</v>
      </c>
      <c r="L32" s="57">
        <f>+H26</f>
        <v>1422.6</v>
      </c>
    </row>
    <row r="33" spans="10:12" x14ac:dyDescent="0.25">
      <c r="J33" s="58"/>
      <c r="K33" s="59">
        <f>SUM(K31:K32)</f>
        <v>15</v>
      </c>
      <c r="L33" s="60">
        <f>SUM(L31:L32)</f>
        <v>8002.2800000000007</v>
      </c>
    </row>
  </sheetData>
  <autoFilter ref="A6:H19" xr:uid="{18771389-BBAD-40FD-B9B5-EFDD09577BC9}"/>
  <mergeCells count="3">
    <mergeCell ref="A19:G19"/>
    <mergeCell ref="A26:G26"/>
    <mergeCell ref="A28:G28"/>
  </mergeCells>
  <pageMargins left="0.75" right="0.75" top="0.75" bottom="0.5" header="0.5" footer="0.75"/>
  <pageSetup orientation="portrait" r:id="rId1"/>
  <headerFooter>
    <oddHeader>&amp;C&amp;"Calibri"&amp;10&amp;K317100 UNRESTRICTED&amp;1#_x000D_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0281a1d9b8af340fda597eb23d9dd6be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49dae27070057cdb6ea8a03939eb9818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Props1.xml><?xml version="1.0" encoding="utf-8"?>
<ds:datastoreItem xmlns:ds="http://schemas.openxmlformats.org/officeDocument/2006/customXml" ds:itemID="{167D89D8-4FC5-4D0F-8AF0-2D0359CE2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0C8E8C-FC9E-48A5-9BED-34AF0B7F21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7DA38-2E2A-41C4-A999-7D41E8EA8A34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docMetadata/LabelInfo.xml><?xml version="1.0" encoding="utf-8"?>
<clbl:labelList xmlns:clbl="http://schemas.microsoft.com/office/2020/mipLabelMetadata">
  <clbl:label id="{d29f98df-f7a9-4411-872c-04180796fb94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Planilla</vt:lpstr>
      <vt:lpstr>Pago Dif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EXT Ricardo Uculmana</cp:lastModifiedBy>
  <dcterms:created xsi:type="dcterms:W3CDTF">2025-11-06T19:38:58Z</dcterms:created>
  <dcterms:modified xsi:type="dcterms:W3CDTF">2026-01-06T18:15:58Z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