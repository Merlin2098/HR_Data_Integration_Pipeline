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metso-my.sharepoint.com/personal/juliocesar_pastor_metso_com/Documents/Adm de Personal - Lima - Yoly/TAWA - PLANILLA REGIMEN MINERO/2026/01 Enero/Fin de mes Enero/"/>
    </mc:Choice>
  </mc:AlternateContent>
  <xr:revisionPtr revIDLastSave="84" documentId="8_{DF993379-4948-46B3-AAC1-96EC87381C25}" xr6:coauthVersionLast="47" xr6:coauthVersionMax="47" xr10:uidLastSave="{7E5B3173-C8C0-4681-A64C-8D848E76D0D1}"/>
  <bookViews>
    <workbookView xWindow="-108" yWindow="-108" windowWidth="23256" windowHeight="13896" activeTab="2" xr2:uid="{27C37978-AB49-4AB3-8DD8-FF1CA595C2F3}"/>
  </bookViews>
  <sheets>
    <sheet name="Resumen" sheetId="2" r:id="rId1"/>
    <sheet name="Planilla" sheetId="1" r:id="rId2"/>
    <sheet name="Comparativo" sheetId="3" r:id="rId3"/>
  </sheets>
  <definedNames>
    <definedName name="_xlnm._FilterDatabase" localSheetId="2" hidden="1">Comparativo!$A$6:$BF$6</definedName>
    <definedName name="_xlnm._FilterDatabase" localSheetId="1" hidden="1">Planilla!$A$6:$BF$6</definedName>
    <definedName name="_xlnm._FilterDatabase" localSheetId="0" hidden="1">Resumen!$A$6:$J$27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3" i="3" l="1"/>
  <c r="BE40" i="3"/>
  <c r="BE39" i="3"/>
  <c r="BE43" i="3" s="1"/>
  <c r="BE35" i="3"/>
  <c r="BD35" i="3"/>
  <c r="BC35" i="3"/>
  <c r="BB35" i="3"/>
  <c r="BA35" i="3"/>
  <c r="AZ35" i="3"/>
  <c r="AY35" i="3"/>
  <c r="AX35" i="3"/>
  <c r="AW35" i="3"/>
  <c r="AV35" i="3"/>
  <c r="AU35" i="3"/>
  <c r="AT35" i="3"/>
  <c r="AS35" i="3"/>
  <c r="AR35" i="3"/>
  <c r="AQ35" i="3"/>
  <c r="AP35" i="3"/>
  <c r="AO35" i="3"/>
  <c r="AN35" i="3"/>
  <c r="AM35" i="3"/>
  <c r="AL35" i="3"/>
  <c r="AK35" i="3"/>
  <c r="AJ35" i="3"/>
  <c r="AI35" i="3"/>
  <c r="AH35" i="3"/>
  <c r="AG35" i="3"/>
  <c r="AF35" i="3"/>
  <c r="AE35" i="3"/>
  <c r="AD35" i="3"/>
  <c r="AC35" i="3"/>
  <c r="AB35" i="3"/>
  <c r="AA35" i="3"/>
  <c r="Z35" i="3"/>
  <c r="Y35" i="3"/>
  <c r="X35" i="3"/>
  <c r="M42" i="2" l="1"/>
  <c r="M41" i="2"/>
  <c r="L42" i="2"/>
  <c r="L41" i="2"/>
  <c r="M43" i="2"/>
  <c r="I39" i="2"/>
  <c r="I27" i="2"/>
  <c r="D43" i="1"/>
  <c r="BE40" i="1"/>
  <c r="BE39" i="1"/>
  <c r="BE43" i="1" s="1"/>
  <c r="BE35" i="1"/>
  <c r="BD35" i="1"/>
  <c r="BC35" i="1"/>
  <c r="BB35" i="1"/>
  <c r="BA35" i="1"/>
  <c r="AZ35" i="1"/>
  <c r="AY35" i="1"/>
  <c r="AX35" i="1"/>
  <c r="AW35" i="1"/>
  <c r="AV35" i="1"/>
  <c r="AU35" i="1"/>
  <c r="AT35" i="1"/>
  <c r="AS35" i="1"/>
  <c r="AR35" i="1"/>
  <c r="AQ35" i="1"/>
  <c r="AP35" i="1"/>
  <c r="AO35" i="1"/>
  <c r="AN35" i="1"/>
  <c r="AM35" i="1"/>
  <c r="AL35" i="1"/>
  <c r="AK35" i="1"/>
  <c r="AJ35" i="1"/>
  <c r="AI35" i="1"/>
  <c r="AH35" i="1"/>
  <c r="AG35" i="1"/>
  <c r="AF35" i="1"/>
  <c r="AE35" i="1"/>
  <c r="AD35" i="1"/>
  <c r="AC35" i="1"/>
  <c r="AB35" i="1"/>
  <c r="AA35" i="1"/>
  <c r="Z35" i="1"/>
  <c r="Y35" i="1"/>
  <c r="X35" i="1"/>
  <c r="L43" i="2" l="1"/>
</calcChain>
</file>

<file path=xl/sharedStrings.xml><?xml version="1.0" encoding="utf-8"?>
<sst xmlns="http://schemas.openxmlformats.org/spreadsheetml/2006/main" count="1369" uniqueCount="296">
  <si>
    <t>Reporte de Nómina por Periodo</t>
  </si>
  <si>
    <t>Año: 2026 - Periodo: 1</t>
  </si>
  <si>
    <t>N°</t>
  </si>
  <si>
    <t>CÓDIGO</t>
  </si>
  <si>
    <t>CÓDIGO CORPORATIVO</t>
  </si>
  <si>
    <t>APELLIDO PATERNO</t>
  </si>
  <si>
    <t>APELLIDO MATERNO</t>
  </si>
  <si>
    <t>NOMBRES</t>
  </si>
  <si>
    <t>TIPO DE DOCUMENTO</t>
  </si>
  <si>
    <t>DNI/CEX</t>
  </si>
  <si>
    <t>SEXO</t>
  </si>
  <si>
    <t>F. NACIMIENTO</t>
  </si>
  <si>
    <t>PUESTO</t>
  </si>
  <si>
    <t>SEDE</t>
  </si>
  <si>
    <t>ÁREA</t>
  </si>
  <si>
    <t>CENTRO DE COSTOS</t>
  </si>
  <si>
    <t>DESC. CENTRO DE COSTO</t>
  </si>
  <si>
    <t>BANCO HABERES</t>
  </si>
  <si>
    <t>CÓDIGO CUENTA</t>
  </si>
  <si>
    <t>NÚMERO DE CUENTA</t>
  </si>
  <si>
    <t>AFP</t>
  </si>
  <si>
    <t>CUSPP</t>
  </si>
  <si>
    <t>FECHA DE INGRESO</t>
  </si>
  <si>
    <t>FECHA CESE</t>
  </si>
  <si>
    <t>MOTIVO CESE</t>
  </si>
  <si>
    <t>DIAS TRABAJADOS</t>
  </si>
  <si>
    <t>DIAS DESC MEDICO (P)</t>
  </si>
  <si>
    <t>DIAS DIST.LIC.S.GH</t>
  </si>
  <si>
    <t># HRS EXTRAS SIMP.25%</t>
  </si>
  <si>
    <t># HRS EXTRAS SIMP.35%</t>
  </si>
  <si>
    <t>#HRS EXTRAS DOBLES</t>
  </si>
  <si>
    <t>SUELDO BASICO</t>
  </si>
  <si>
    <t>ASIG. FAMILIAR TEORI</t>
  </si>
  <si>
    <t>HABER BASICO</t>
  </si>
  <si>
    <t>ASIGNACION FAMILIAR</t>
  </si>
  <si>
    <t>HORAS EXTRAS 25%</t>
  </si>
  <si>
    <t>HORAS EXTRAS 35%</t>
  </si>
  <si>
    <t>HORAS EXTRAS 100%</t>
  </si>
  <si>
    <t>DESCANSO MEDICO</t>
  </si>
  <si>
    <t>TOTAL INGRESOS</t>
  </si>
  <si>
    <t>QUINCENA</t>
  </si>
  <si>
    <t>S.N.P.</t>
  </si>
  <si>
    <t>5TA CATEGORIA</t>
  </si>
  <si>
    <t>OTROS DESCUENTOS</t>
  </si>
  <si>
    <t>AFP FONDO PENSIONES</t>
  </si>
  <si>
    <t>AFP COMISION VARIAB.</t>
  </si>
  <si>
    <t>AFP SEGURO INVALIDEZ</t>
  </si>
  <si>
    <t>AFP DESC COMPLE 2%</t>
  </si>
  <si>
    <t>FCJM</t>
  </si>
  <si>
    <t>TOTAL DESCUENTOS</t>
  </si>
  <si>
    <t>ESSALUD</t>
  </si>
  <si>
    <t>APORTE DE EPS</t>
  </si>
  <si>
    <t>SEG.COM.TR PENSION</t>
  </si>
  <si>
    <t>SEG.COM.T.R.SALUD</t>
  </si>
  <si>
    <t>SENATI</t>
  </si>
  <si>
    <t>SEGURO VIDA LEY</t>
  </si>
  <si>
    <t>AFP APOR COMPL 2%</t>
  </si>
  <si>
    <t>TOTAL APORTACIONES</t>
  </si>
  <si>
    <t>NETO</t>
  </si>
  <si>
    <t>42976096</t>
  </si>
  <si>
    <t>460988</t>
  </si>
  <si>
    <t>ADAUTO</t>
  </si>
  <si>
    <t>OSORIO</t>
  </si>
  <si>
    <t>JORGE LUIS</t>
  </si>
  <si>
    <t>DNI</t>
  </si>
  <si>
    <t>M</t>
  </si>
  <si>
    <t xml:space="preserve">SUPERVISOR DE OPERACIONES </t>
  </si>
  <si>
    <t>VULCANO</t>
  </si>
  <si>
    <t>MA SAM FSE &amp; LCS PE</t>
  </si>
  <si>
    <t>PE012224</t>
  </si>
  <si>
    <t>PROYECTO PEBBLES II</t>
  </si>
  <si>
    <t xml:space="preserve">BANCO BBVA PERÚ S.A </t>
  </si>
  <si>
    <t>AHS</t>
  </si>
  <si>
    <t>00110057710238733716</t>
  </si>
  <si>
    <t>NO APLICABLE</t>
  </si>
  <si>
    <t>41938672</t>
  </si>
  <si>
    <t>460917</t>
  </si>
  <si>
    <t>AROTINCO</t>
  </si>
  <si>
    <t>YUCRA</t>
  </si>
  <si>
    <t>JULIO ALBERTO</t>
  </si>
  <si>
    <t>BANCO INTERNACIONAL DEL PERU S.A.A - INTERBANK</t>
  </si>
  <si>
    <t>BIN</t>
  </si>
  <si>
    <t>00337701309562583090</t>
  </si>
  <si>
    <t>AFP PRIMA</t>
  </si>
  <si>
    <t>604671JAYTR5</t>
  </si>
  <si>
    <t>44027235</t>
  </si>
  <si>
    <t>460794</t>
  </si>
  <si>
    <t>BERGEL</t>
  </si>
  <si>
    <t>OLIVARES</t>
  </si>
  <si>
    <t>JESUS MANUEL</t>
  </si>
  <si>
    <t>MECANICO SOLDADOR</t>
  </si>
  <si>
    <t>BANCO DE CREDITO DEL PERU S.A</t>
  </si>
  <si>
    <t>00238019204573705342</t>
  </si>
  <si>
    <t>607851JBOGV2</t>
  </si>
  <si>
    <t>44767714</t>
  </si>
  <si>
    <t>461083</t>
  </si>
  <si>
    <t>CALLATA</t>
  </si>
  <si>
    <t>CHURA</t>
  </si>
  <si>
    <t>JEAN</t>
  </si>
  <si>
    <t>SUPERVISOR MECANICO ELECTRICO</t>
  </si>
  <si>
    <t>00221517766331809128</t>
  </si>
  <si>
    <t>AFP INTEGRA</t>
  </si>
  <si>
    <t>620761JCCLR0</t>
  </si>
  <si>
    <t>72129071</t>
  </si>
  <si>
    <t>460858</t>
  </si>
  <si>
    <t>COLLAO</t>
  </si>
  <si>
    <t>BASILIO</t>
  </si>
  <si>
    <t>RONALD DANTE</t>
  </si>
  <si>
    <t>OPERADOR SALA DE CONTROL</t>
  </si>
  <si>
    <t>00228017449076405661</t>
  </si>
  <si>
    <t>641691RCBLI2</t>
  </si>
  <si>
    <t>42838208</t>
  </si>
  <si>
    <t>460799</t>
  </si>
  <si>
    <t>COSTILLA</t>
  </si>
  <si>
    <t>GRADOS</t>
  </si>
  <si>
    <t>FELIX ENRIQUE</t>
  </si>
  <si>
    <t>OPERADOR DE OPERACIONES</t>
  </si>
  <si>
    <t>00110579050236050342</t>
  </si>
  <si>
    <t>301801FCGTD6</t>
  </si>
  <si>
    <t>29580021</t>
  </si>
  <si>
    <t>460960</t>
  </si>
  <si>
    <t>DIAZ</t>
  </si>
  <si>
    <t>ROLDAN</t>
  </si>
  <si>
    <t>EDWIN GERMAIN</t>
  </si>
  <si>
    <t>RESIDENTE DE CONTRATOS</t>
  </si>
  <si>
    <t>SCOTIABANK PERU SAA</t>
  </si>
  <si>
    <t>00916920169001777543</t>
  </si>
  <si>
    <t>AFP HABITAT</t>
  </si>
  <si>
    <t>262361EDRZD1</t>
  </si>
  <si>
    <t>47849060</t>
  </si>
  <si>
    <t>460797</t>
  </si>
  <si>
    <t>FLORES</t>
  </si>
  <si>
    <t>CARITA</t>
  </si>
  <si>
    <t>EDGAR NOEL</t>
  </si>
  <si>
    <t>00221510024110403628</t>
  </si>
  <si>
    <t>641601EFCRI6</t>
  </si>
  <si>
    <t>40794965</t>
  </si>
  <si>
    <t>460854</t>
  </si>
  <si>
    <t>RUBEN</t>
  </si>
  <si>
    <t>MECANICO ALMACENERO</t>
  </si>
  <si>
    <t>00221510324370106224</t>
  </si>
  <si>
    <t>41105310</t>
  </si>
  <si>
    <t>461264</t>
  </si>
  <si>
    <t>HINOSTROZA</t>
  </si>
  <si>
    <t>LLANOS</t>
  </si>
  <si>
    <t>VICTOR HUGO</t>
  </si>
  <si>
    <t>SUPERVISOR DE SEGURIDAD</t>
  </si>
  <si>
    <t>00235517073833409860</t>
  </si>
  <si>
    <t>597021VHLON0</t>
  </si>
  <si>
    <t>45531526</t>
  </si>
  <si>
    <t>461082</t>
  </si>
  <si>
    <t>HUAMAN</t>
  </si>
  <si>
    <t>CORRALES</t>
  </si>
  <si>
    <t>MIGUEL ANGEL</t>
  </si>
  <si>
    <t>TECNICO ELECTRICISTA- INSTRUMENTISTA</t>
  </si>
  <si>
    <t>00110211060200777821</t>
  </si>
  <si>
    <t>72095469</t>
  </si>
  <si>
    <t>460856</t>
  </si>
  <si>
    <t>HURTADO</t>
  </si>
  <si>
    <t>VICENTE</t>
  </si>
  <si>
    <t>EDITH YOVANNA</t>
  </si>
  <si>
    <t>F</t>
  </si>
  <si>
    <t>00219113974283107255</t>
  </si>
  <si>
    <t>643690EHVTE9</t>
  </si>
  <si>
    <t>42461272</t>
  </si>
  <si>
    <t>460647</t>
  </si>
  <si>
    <t>LAVADO</t>
  </si>
  <si>
    <t>RAMOS</t>
  </si>
  <si>
    <t>RAUL</t>
  </si>
  <si>
    <t>00110057760227478102</t>
  </si>
  <si>
    <t>73053081</t>
  </si>
  <si>
    <t>460795</t>
  </si>
  <si>
    <t>MACHACCA</t>
  </si>
  <si>
    <t>TUNQUIPA</t>
  </si>
  <si>
    <t>MIGUEL GERARDO</t>
  </si>
  <si>
    <t>INGENIERO DE COSTOS Y PLANIFICACIÓN DE LA DEMANDA</t>
  </si>
  <si>
    <t>PE012203</t>
  </si>
  <si>
    <t>FSE STRATEGIC PLANNING</t>
  </si>
  <si>
    <t>00931020700871557042</t>
  </si>
  <si>
    <t>655831MMTHQ4</t>
  </si>
  <si>
    <t>70762892</t>
  </si>
  <si>
    <t>460855</t>
  </si>
  <si>
    <t>MALCA</t>
  </si>
  <si>
    <t>CARRASCO</t>
  </si>
  <si>
    <t>RICARDO FRANCO</t>
  </si>
  <si>
    <t>00219110955965401455</t>
  </si>
  <si>
    <t>AFP PROFUTURO</t>
  </si>
  <si>
    <t>628811RMCCR7</t>
  </si>
  <si>
    <t>72861300</t>
  </si>
  <si>
    <t>461613</t>
  </si>
  <si>
    <t>MEDRANO</t>
  </si>
  <si>
    <t>ALFARO</t>
  </si>
  <si>
    <t>FRANK ALBERTO</t>
  </si>
  <si>
    <t>00320001312153353237</t>
  </si>
  <si>
    <t>636321FMARA7</t>
  </si>
  <si>
    <t>46827571</t>
  </si>
  <si>
    <t>451639</t>
  </si>
  <si>
    <t>MEZA</t>
  </si>
  <si>
    <t>ABREGU</t>
  </si>
  <si>
    <t>JHON CRISTHIAN</t>
  </si>
  <si>
    <t>00917020890701653220</t>
  </si>
  <si>
    <t>631321JMAAE4</t>
  </si>
  <si>
    <t>46222342</t>
  </si>
  <si>
    <t>460755</t>
  </si>
  <si>
    <t>MONTERREY</t>
  </si>
  <si>
    <t>LEON</t>
  </si>
  <si>
    <t>JUAN DANIEL</t>
  </si>
  <si>
    <t>00320001345984091037</t>
  </si>
  <si>
    <t>71902174</t>
  </si>
  <si>
    <t>460648</t>
  </si>
  <si>
    <t>MOORE</t>
  </si>
  <si>
    <t>DURAN</t>
  </si>
  <si>
    <t>KEEN YOU</t>
  </si>
  <si>
    <t>PLANIFICADOR MECANICO ELECTRICO</t>
  </si>
  <si>
    <t>00110579090219244761</t>
  </si>
  <si>
    <t>648051KMDRA2</t>
  </si>
  <si>
    <t>18202152</t>
  </si>
  <si>
    <t>461073</t>
  </si>
  <si>
    <t>RODRIGUEZ</t>
  </si>
  <si>
    <t>AVILA</t>
  </si>
  <si>
    <t>ROBERT MICHAEL</t>
  </si>
  <si>
    <t>00257011227530004701</t>
  </si>
  <si>
    <t>581401RRARL6</t>
  </si>
  <si>
    <t>45713627</t>
  </si>
  <si>
    <t>446522</t>
  </si>
  <si>
    <t>ROJAS</t>
  </si>
  <si>
    <t>ALVARADO</t>
  </si>
  <si>
    <t>LUIS GUSTAVO</t>
  </si>
  <si>
    <t xml:space="preserve">BANCO INTERAMERICANO DE FINANZAS S.A                                                                </t>
  </si>
  <si>
    <t>03820410801690189149</t>
  </si>
  <si>
    <t>625851LRAAA6</t>
  </si>
  <si>
    <t>73891787</t>
  </si>
  <si>
    <t>460857</t>
  </si>
  <si>
    <t>ROSALES</t>
  </si>
  <si>
    <t>LOBATON</t>
  </si>
  <si>
    <t>ALEX WILLIAM</t>
  </si>
  <si>
    <t>00247019077898309337</t>
  </si>
  <si>
    <t>650251ARLAA2</t>
  </si>
  <si>
    <t>44782782</t>
  </si>
  <si>
    <t>460798</t>
  </si>
  <si>
    <t>SOTO</t>
  </si>
  <si>
    <t>ZAPATA</t>
  </si>
  <si>
    <t>SOLEDAD</t>
  </si>
  <si>
    <t xml:space="preserve">ASISTENTE DE SERVICIOS </t>
  </si>
  <si>
    <t>00219313832733407717</t>
  </si>
  <si>
    <t>321350SSZOA5</t>
  </si>
  <si>
    <t>71134589</t>
  </si>
  <si>
    <t>460800</t>
  </si>
  <si>
    <t>TAYPE</t>
  </si>
  <si>
    <t>MONTAÑEZ</t>
  </si>
  <si>
    <t>00235510138380702267</t>
  </si>
  <si>
    <t>47209288</t>
  </si>
  <si>
    <t>460793</t>
  </si>
  <si>
    <t>TOPALAYA</t>
  </si>
  <si>
    <t>CARRION</t>
  </si>
  <si>
    <t>CRISTIAN RAUL</t>
  </si>
  <si>
    <t>00110057790246979414</t>
  </si>
  <si>
    <t>636221CTCAR1</t>
  </si>
  <si>
    <t>73028319</t>
  </si>
  <si>
    <t>460918</t>
  </si>
  <si>
    <t>UBIA</t>
  </si>
  <si>
    <t>DEL AGUILA</t>
  </si>
  <si>
    <t>JEANCARLOS</t>
  </si>
  <si>
    <t>00110579010233535477</t>
  </si>
  <si>
    <t>657261JUAAI4</t>
  </si>
  <si>
    <t>46181654</t>
  </si>
  <si>
    <t>460646</t>
  </si>
  <si>
    <t>URETA</t>
  </si>
  <si>
    <t>VILLAFUERTE</t>
  </si>
  <si>
    <t>ALEXANDER</t>
  </si>
  <si>
    <t>BANCO FALABELLA PERU S.A</t>
  </si>
  <si>
    <t>05410782107174411889</t>
  </si>
  <si>
    <t>628721AUVTL7</t>
  </si>
  <si>
    <t>48240247</t>
  </si>
  <si>
    <t>460792</t>
  </si>
  <si>
    <t>VILA</t>
  </si>
  <si>
    <t>DE LA CRUZ</t>
  </si>
  <si>
    <t>00110321790200951668</t>
  </si>
  <si>
    <t>CONCILIACIÓN DE TRABAJADORES</t>
  </si>
  <si>
    <t>TOTAL TRABAJADORES MES ANTERIOR</t>
  </si>
  <si>
    <t>RESUMEN PAGOS</t>
  </si>
  <si>
    <t>SOLES</t>
  </si>
  <si>
    <t>+ INGRESOS DEL MES</t>
  </si>
  <si>
    <t>INTERBANCARIOS</t>
  </si>
  <si>
    <t>- CESES DEL MES ANTERIOR</t>
  </si>
  <si>
    <t>BANCO CONTINENTAL</t>
  </si>
  <si>
    <t>+ TRASPASOS DE OTRA PLANILLA</t>
  </si>
  <si>
    <t>CESADOS EN EL MES</t>
  </si>
  <si>
    <t>- TRASPASOS A OTRA PLANILLA</t>
  </si>
  <si>
    <t>TOTAL TRABAJADORES MES ACTUAL</t>
  </si>
  <si>
    <t>TOTAL CONTINENTAL</t>
  </si>
  <si>
    <t>DEPOSITO</t>
  </si>
  <si>
    <t>CANT</t>
  </si>
  <si>
    <t>MONTO</t>
  </si>
  <si>
    <t>OTROS BANCOS</t>
  </si>
  <si>
    <t>BBVA CONTINENTAL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</si>
</sst>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dd/mm/yyyy"/>
    <numFmt numFmtId="165" formatCode="_ * #,##0.00_ ;_ * \-#,##0.00_ ;_ * &quot;-&quot;??_ ;_ @_ "/>
  </numFmts>
  <fonts count="17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sz val="8"/>
      <color indexed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u/>
      <sz val="8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indexed="56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color rgb="FFFFFFFF"/>
      <name val="Calibri"/>
      <family val="2"/>
      <scheme val="minor"/>
    </font>
    <font>
      <b/>
      <sz val="8"/>
      <color rgb="FFFFFFFF"/>
      <name val="Calibri"/>
      <family val="2"/>
      <scheme val="minor"/>
    </font>
    <font>
      <b/>
      <u/>
      <sz val="8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0080"/>
      </patternFill>
    </fill>
    <fill>
      <patternFill patternType="solid">
        <fgColor rgb="FFFF0000"/>
      </patternFill>
    </fill>
    <fill>
      <patternFill patternType="solid">
        <fgColor rgb="FFFFC000"/>
      </patternFill>
    </fill>
    <fill>
      <patternFill patternType="solid">
        <fgColor rgb="FFFFFF99"/>
      </patternFill>
    </fill>
    <fill>
      <patternFill patternType="solid">
        <fgColor indexed="1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5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 applyBorder="0"/>
    <xf numFmtId="43" fontId="2" fillId="0" borderId="0" applyFont="0" applyFill="0" applyBorder="0" applyAlignment="0" applyProtection="0"/>
    <xf numFmtId="0" fontId="3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59">
    <xf numFmtId="0" fontId="0" fillId="0" borderId="0" xfId="0"/>
    <xf numFmtId="0" fontId="4" fillId="6" borderId="3" xfId="0" applyFont="1" applyFill="1" applyBorder="1" applyAlignment="1">
      <alignment horizontal="center" vertical="justify" wrapText="1"/>
    </xf>
    <xf numFmtId="0" fontId="4" fillId="6" borderId="4" xfId="0" applyFont="1" applyFill="1" applyBorder="1" applyAlignment="1">
      <alignment horizontal="center" vertical="justify" wrapText="1"/>
    </xf>
    <xf numFmtId="0" fontId="4" fillId="6" borderId="5" xfId="0" applyFont="1" applyFill="1" applyBorder="1" applyAlignment="1">
      <alignment horizontal="center" vertical="justify" wrapText="1"/>
    </xf>
    <xf numFmtId="49" fontId="5" fillId="7" borderId="6" xfId="0" applyNumberFormat="1" applyFont="1" applyFill="1" applyBorder="1" applyAlignment="1">
      <alignment vertical="center"/>
    </xf>
    <xf numFmtId="0" fontId="5" fillId="7" borderId="0" xfId="0" applyFont="1" applyFill="1" applyBorder="1" applyAlignment="1">
      <alignment horizontal="center" vertical="center"/>
    </xf>
    <xf numFmtId="0" fontId="5" fillId="7" borderId="7" xfId="0" applyFont="1" applyFill="1" applyBorder="1" applyAlignment="1">
      <alignment vertical="center"/>
    </xf>
    <xf numFmtId="0" fontId="6" fillId="7" borderId="0" xfId="2" applyFont="1" applyFill="1"/>
    <xf numFmtId="0" fontId="7" fillId="7" borderId="0" xfId="2" applyFont="1" applyFill="1"/>
    <xf numFmtId="0" fontId="5" fillId="7" borderId="0" xfId="0" applyFont="1" applyFill="1" applyAlignment="1">
      <alignment horizontal="center"/>
    </xf>
    <xf numFmtId="49" fontId="8" fillId="7" borderId="6" xfId="0" applyNumberFormat="1" applyFont="1" applyFill="1" applyBorder="1" applyAlignment="1">
      <alignment vertical="center"/>
    </xf>
    <xf numFmtId="0" fontId="8" fillId="7" borderId="0" xfId="0" applyFont="1" applyFill="1" applyBorder="1" applyAlignment="1">
      <alignment horizontal="center" vertical="center"/>
    </xf>
    <xf numFmtId="0" fontId="8" fillId="7" borderId="7" xfId="0" applyFont="1" applyFill="1" applyBorder="1" applyAlignment="1">
      <alignment vertical="center"/>
    </xf>
    <xf numFmtId="0" fontId="9" fillId="7" borderId="8" xfId="2" applyFont="1" applyFill="1" applyBorder="1"/>
    <xf numFmtId="0" fontId="9" fillId="7" borderId="8" xfId="2" applyFont="1" applyFill="1" applyBorder="1" applyAlignment="1">
      <alignment horizontal="center"/>
    </xf>
    <xf numFmtId="165" fontId="9" fillId="7" borderId="8" xfId="3" applyFont="1" applyFill="1" applyBorder="1" applyAlignment="1"/>
    <xf numFmtId="43" fontId="8" fillId="7" borderId="7" xfId="1" applyFont="1" applyFill="1" applyBorder="1" applyAlignment="1">
      <alignment vertical="center"/>
    </xf>
    <xf numFmtId="0" fontId="10" fillId="8" borderId="8" xfId="2" applyFont="1" applyFill="1" applyBorder="1"/>
    <xf numFmtId="0" fontId="9" fillId="8" borderId="8" xfId="2" applyFont="1" applyFill="1" applyBorder="1" applyAlignment="1">
      <alignment horizontal="center"/>
    </xf>
    <xf numFmtId="165" fontId="10" fillId="0" borderId="8" xfId="3" applyFont="1" applyFill="1" applyBorder="1" applyAlignment="1"/>
    <xf numFmtId="43" fontId="10" fillId="0" borderId="8" xfId="4" applyFont="1" applyFill="1" applyBorder="1" applyAlignment="1"/>
    <xf numFmtId="165" fontId="11" fillId="9" borderId="9" xfId="0" applyNumberFormat="1" applyFont="1" applyFill="1" applyBorder="1" applyAlignment="1">
      <alignment vertical="center"/>
    </xf>
    <xf numFmtId="165" fontId="11" fillId="9" borderId="10" xfId="0" applyNumberFormat="1" applyFont="1" applyFill="1" applyBorder="1" applyAlignment="1">
      <alignment vertical="center"/>
    </xf>
    <xf numFmtId="165" fontId="11" fillId="9" borderId="11" xfId="0" applyNumberFormat="1" applyFont="1" applyFill="1" applyBorder="1" applyAlignment="1">
      <alignment vertical="center"/>
    </xf>
    <xf numFmtId="0" fontId="5" fillId="10" borderId="0" xfId="0" applyFont="1" applyFill="1"/>
    <xf numFmtId="165" fontId="9" fillId="7" borderId="12" xfId="3" applyFont="1" applyFill="1" applyBorder="1" applyAlignment="1"/>
    <xf numFmtId="0" fontId="12" fillId="0" borderId="0" xfId="0" applyFont="1"/>
    <xf numFmtId="0" fontId="13" fillId="0" borderId="0" xfId="0" applyFont="1"/>
    <xf numFmtId="0" fontId="12" fillId="0" borderId="0" xfId="0" applyFont="1"/>
    <xf numFmtId="0" fontId="13" fillId="0" borderId="0" xfId="0" applyFont="1"/>
    <xf numFmtId="0" fontId="13" fillId="0" borderId="1" xfId="0" applyFont="1" applyBorder="1"/>
    <xf numFmtId="4" fontId="13" fillId="0" borderId="1" xfId="0" applyNumberFormat="1" applyFont="1" applyBorder="1"/>
    <xf numFmtId="4" fontId="13" fillId="4" borderId="1" xfId="0" applyNumberFormat="1" applyFont="1" applyFill="1" applyBorder="1"/>
    <xf numFmtId="4" fontId="13" fillId="5" borderId="1" xfId="0" applyNumberFormat="1" applyFont="1" applyFill="1" applyBorder="1"/>
    <xf numFmtId="0" fontId="13" fillId="4" borderId="1" xfId="0" applyFont="1" applyFill="1" applyBorder="1"/>
    <xf numFmtId="0" fontId="13" fillId="5" borderId="2" xfId="0" applyFont="1" applyFill="1" applyBorder="1"/>
    <xf numFmtId="4" fontId="13" fillId="5" borderId="2" xfId="0" applyNumberFormat="1" applyFont="1" applyFill="1" applyBorder="1"/>
    <xf numFmtId="4" fontId="13" fillId="4" borderId="2" xfId="0" applyNumberFormat="1" applyFont="1" applyFill="1" applyBorder="1"/>
    <xf numFmtId="0" fontId="13" fillId="10" borderId="0" xfId="0" applyFont="1" applyFill="1"/>
    <xf numFmtId="0" fontId="14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1" xfId="0" applyFont="1" applyBorder="1" applyAlignment="1">
      <alignment horizontal="center"/>
    </xf>
    <xf numFmtId="0" fontId="13" fillId="0" borderId="0" xfId="0" applyFont="1" applyAlignment="1">
      <alignment horizontal="center"/>
    </xf>
    <xf numFmtId="164" fontId="13" fillId="0" borderId="1" xfId="0" applyNumberFormat="1" applyFont="1" applyBorder="1" applyAlignment="1">
      <alignment horizontal="center"/>
    </xf>
    <xf numFmtId="0" fontId="13" fillId="5" borderId="2" xfId="0" applyFont="1" applyFill="1" applyBorder="1" applyAlignment="1">
      <alignment horizontal="center"/>
    </xf>
    <xf numFmtId="0" fontId="13" fillId="5" borderId="13" xfId="0" applyFont="1" applyFill="1" applyBorder="1" applyAlignment="1">
      <alignment horizontal="left"/>
    </xf>
    <xf numFmtId="0" fontId="13" fillId="5" borderId="14" xfId="0" applyFont="1" applyFill="1" applyBorder="1" applyAlignment="1">
      <alignment horizontal="left"/>
    </xf>
    <xf numFmtId="0" fontId="13" fillId="5" borderId="15" xfId="0" applyFont="1" applyFill="1" applyBorder="1" applyAlignment="1">
      <alignment horizontal="left"/>
    </xf>
    <xf numFmtId="0" fontId="5" fillId="0" borderId="16" xfId="0" applyFont="1" applyBorder="1" applyAlignment="1">
      <alignment horizontal="center"/>
    </xf>
    <xf numFmtId="0" fontId="8" fillId="0" borderId="16" xfId="0" applyFont="1" applyBorder="1"/>
    <xf numFmtId="0" fontId="8" fillId="0" borderId="16" xfId="0" applyFont="1" applyBorder="1" applyAlignment="1">
      <alignment horizontal="center"/>
    </xf>
    <xf numFmtId="4" fontId="8" fillId="0" borderId="16" xfId="0" applyNumberFormat="1" applyFont="1" applyBorder="1"/>
    <xf numFmtId="0" fontId="8" fillId="0" borderId="0" xfId="0" applyFont="1"/>
    <xf numFmtId="0" fontId="16" fillId="0" borderId="0" xfId="0" applyFont="1" applyAlignment="1">
      <alignment horizontal="center"/>
    </xf>
    <xf numFmtId="4" fontId="16" fillId="0" borderId="0" xfId="0" applyNumberFormat="1" applyFont="1"/>
  </cellXfs>
  <cellStyles count="5">
    <cellStyle name="Millares" xfId="1" builtinId="3"/>
    <cellStyle name="Millares 4" xfId="3" xr:uid="{AD4A50CA-187C-429C-B63D-DE15E36063E6}"/>
    <cellStyle name="Millares 5" xfId="4" xr:uid="{9FD48E47-8222-4F47-94BF-527C50A7E50F}"/>
    <cellStyle name="Normal" xfId="0" builtinId="0"/>
    <cellStyle name="Normal 2" xfId="2" xr:uid="{0C7AF2AE-CE4A-456C-B081-DF48C2FAF1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E06D3-005A-475A-BC63-4573A7770D32}">
  <dimension ref="A3:M43"/>
  <sheetViews>
    <sheetView workbookViewId="0">
      <pane xSplit="6" ySplit="6" topLeftCell="G7" activePane="bottomRight" state="frozen"/>
      <selection pane="topRight" activeCell="G1" sqref="G1"/>
      <selection pane="bottomLeft" activeCell="A7" sqref="A7"/>
      <selection pane="bottomRight" activeCell="E44" sqref="E44"/>
    </sheetView>
  </sheetViews>
  <sheetFormatPr baseColWidth="10" defaultColWidth="9.109375" defaultRowHeight="10.199999999999999" x14ac:dyDescent="0.2"/>
  <cols>
    <col min="1" max="1" width="3.88671875" style="27" customWidth="1"/>
    <col min="2" max="2" width="10.33203125" style="27" customWidth="1"/>
    <col min="3" max="3" width="12.6640625" style="27" customWidth="1"/>
    <col min="4" max="4" width="12.21875" style="27" customWidth="1"/>
    <col min="5" max="5" width="11.21875" style="27" customWidth="1"/>
    <col min="6" max="6" width="12" style="27" customWidth="1"/>
    <col min="7" max="7" width="8.21875" style="46" customWidth="1"/>
    <col min="8" max="8" width="20.109375" style="46" customWidth="1"/>
    <col min="9" max="9" width="10" style="27" bestFit="1" customWidth="1"/>
    <col min="10" max="10" width="9.109375" style="27"/>
    <col min="11" max="11" width="12.44140625" style="27" bestFit="1" customWidth="1"/>
    <col min="12" max="16384" width="9.109375" style="27"/>
  </cols>
  <sheetData>
    <row r="3" spans="1:9" x14ac:dyDescent="0.2">
      <c r="A3" s="26" t="s">
        <v>0</v>
      </c>
    </row>
    <row r="4" spans="1:9" x14ac:dyDescent="0.2">
      <c r="A4" s="28" t="s">
        <v>1</v>
      </c>
      <c r="B4" s="29"/>
      <c r="C4" s="29"/>
      <c r="D4" s="29"/>
    </row>
    <row r="6" spans="1:9" s="44" customFormat="1" ht="25.2" customHeight="1" x14ac:dyDescent="0.3">
      <c r="A6" s="39" t="s">
        <v>2</v>
      </c>
      <c r="B6" s="40" t="s">
        <v>3</v>
      </c>
      <c r="C6" s="40" t="s">
        <v>4</v>
      </c>
      <c r="D6" s="40" t="s">
        <v>5</v>
      </c>
      <c r="E6" s="40" t="s">
        <v>6</v>
      </c>
      <c r="F6" s="40" t="s">
        <v>7</v>
      </c>
      <c r="G6" s="40" t="s">
        <v>18</v>
      </c>
      <c r="H6" s="40" t="s">
        <v>19</v>
      </c>
      <c r="I6" s="43" t="s">
        <v>58</v>
      </c>
    </row>
    <row r="7" spans="1:9" x14ac:dyDescent="0.2">
      <c r="A7" s="45">
        <v>1</v>
      </c>
      <c r="B7" s="45" t="s">
        <v>75</v>
      </c>
      <c r="C7" s="45" t="s">
        <v>76</v>
      </c>
      <c r="D7" s="30" t="s">
        <v>77</v>
      </c>
      <c r="E7" s="30" t="s">
        <v>78</v>
      </c>
      <c r="F7" s="30" t="s">
        <v>79</v>
      </c>
      <c r="G7" s="45" t="s">
        <v>81</v>
      </c>
      <c r="H7" s="45" t="s">
        <v>82</v>
      </c>
      <c r="I7" s="33">
        <v>3058.92</v>
      </c>
    </row>
    <row r="8" spans="1:9" x14ac:dyDescent="0.2">
      <c r="A8" s="45">
        <v>2</v>
      </c>
      <c r="B8" s="45" t="s">
        <v>85</v>
      </c>
      <c r="C8" s="45" t="s">
        <v>86</v>
      </c>
      <c r="D8" s="30" t="s">
        <v>87</v>
      </c>
      <c r="E8" s="30" t="s">
        <v>88</v>
      </c>
      <c r="F8" s="30" t="s">
        <v>89</v>
      </c>
      <c r="G8" s="45" t="s">
        <v>81</v>
      </c>
      <c r="H8" s="45" t="s">
        <v>92</v>
      </c>
      <c r="I8" s="33">
        <v>1782.61</v>
      </c>
    </row>
    <row r="9" spans="1:9" x14ac:dyDescent="0.2">
      <c r="A9" s="45">
        <v>3</v>
      </c>
      <c r="B9" s="45" t="s">
        <v>94</v>
      </c>
      <c r="C9" s="45" t="s">
        <v>95</v>
      </c>
      <c r="D9" s="30" t="s">
        <v>96</v>
      </c>
      <c r="E9" s="30" t="s">
        <v>97</v>
      </c>
      <c r="F9" s="30" t="s">
        <v>98</v>
      </c>
      <c r="G9" s="45" t="s">
        <v>81</v>
      </c>
      <c r="H9" s="45" t="s">
        <v>100</v>
      </c>
      <c r="I9" s="33">
        <v>2917.08</v>
      </c>
    </row>
    <row r="10" spans="1:9" x14ac:dyDescent="0.2">
      <c r="A10" s="45">
        <v>4</v>
      </c>
      <c r="B10" s="45" t="s">
        <v>103</v>
      </c>
      <c r="C10" s="45" t="s">
        <v>104</v>
      </c>
      <c r="D10" s="30" t="s">
        <v>105</v>
      </c>
      <c r="E10" s="30" t="s">
        <v>106</v>
      </c>
      <c r="F10" s="30" t="s">
        <v>107</v>
      </c>
      <c r="G10" s="45" t="s">
        <v>81</v>
      </c>
      <c r="H10" s="45" t="s">
        <v>109</v>
      </c>
      <c r="I10" s="33">
        <v>1076.51</v>
      </c>
    </row>
    <row r="11" spans="1:9" x14ac:dyDescent="0.2">
      <c r="A11" s="45">
        <v>5</v>
      </c>
      <c r="B11" s="45" t="s">
        <v>119</v>
      </c>
      <c r="C11" s="45" t="s">
        <v>120</v>
      </c>
      <c r="D11" s="30" t="s">
        <v>121</v>
      </c>
      <c r="E11" s="30" t="s">
        <v>122</v>
      </c>
      <c r="F11" s="30" t="s">
        <v>123</v>
      </c>
      <c r="G11" s="45" t="s">
        <v>81</v>
      </c>
      <c r="H11" s="45" t="s">
        <v>126</v>
      </c>
      <c r="I11" s="33">
        <v>5773.88</v>
      </c>
    </row>
    <row r="12" spans="1:9" x14ac:dyDescent="0.2">
      <c r="A12" s="45">
        <v>6</v>
      </c>
      <c r="B12" s="45" t="s">
        <v>129</v>
      </c>
      <c r="C12" s="45" t="s">
        <v>130</v>
      </c>
      <c r="D12" s="30" t="s">
        <v>131</v>
      </c>
      <c r="E12" s="30" t="s">
        <v>132</v>
      </c>
      <c r="F12" s="30" t="s">
        <v>133</v>
      </c>
      <c r="G12" s="45" t="s">
        <v>81</v>
      </c>
      <c r="H12" s="45" t="s">
        <v>134</v>
      </c>
      <c r="I12" s="33">
        <v>1833.03</v>
      </c>
    </row>
    <row r="13" spans="1:9" x14ac:dyDescent="0.2">
      <c r="A13" s="45">
        <v>7</v>
      </c>
      <c r="B13" s="45" t="s">
        <v>136</v>
      </c>
      <c r="C13" s="45" t="s">
        <v>137</v>
      </c>
      <c r="D13" s="30" t="s">
        <v>131</v>
      </c>
      <c r="E13" s="30" t="s">
        <v>131</v>
      </c>
      <c r="F13" s="30" t="s">
        <v>138</v>
      </c>
      <c r="G13" s="45" t="s">
        <v>81</v>
      </c>
      <c r="H13" s="45" t="s">
        <v>140</v>
      </c>
      <c r="I13" s="33">
        <v>1840.63</v>
      </c>
    </row>
    <row r="14" spans="1:9" x14ac:dyDescent="0.2">
      <c r="A14" s="45">
        <v>8</v>
      </c>
      <c r="B14" s="45" t="s">
        <v>141</v>
      </c>
      <c r="C14" s="45" t="s">
        <v>142</v>
      </c>
      <c r="D14" s="30" t="s">
        <v>143</v>
      </c>
      <c r="E14" s="30" t="s">
        <v>144</v>
      </c>
      <c r="F14" s="30" t="s">
        <v>145</v>
      </c>
      <c r="G14" s="45" t="s">
        <v>81</v>
      </c>
      <c r="H14" s="45" t="s">
        <v>147</v>
      </c>
      <c r="I14" s="33">
        <v>2937.88</v>
      </c>
    </row>
    <row r="15" spans="1:9" x14ac:dyDescent="0.2">
      <c r="A15" s="45">
        <v>9</v>
      </c>
      <c r="B15" s="45" t="s">
        <v>156</v>
      </c>
      <c r="C15" s="45" t="s">
        <v>157</v>
      </c>
      <c r="D15" s="30" t="s">
        <v>158</v>
      </c>
      <c r="E15" s="30" t="s">
        <v>159</v>
      </c>
      <c r="F15" s="30" t="s">
        <v>160</v>
      </c>
      <c r="G15" s="45" t="s">
        <v>81</v>
      </c>
      <c r="H15" s="45" t="s">
        <v>162</v>
      </c>
      <c r="I15" s="33">
        <v>1932.37</v>
      </c>
    </row>
    <row r="16" spans="1:9" x14ac:dyDescent="0.2">
      <c r="A16" s="45">
        <v>10</v>
      </c>
      <c r="B16" s="45" t="s">
        <v>170</v>
      </c>
      <c r="C16" s="45" t="s">
        <v>171</v>
      </c>
      <c r="D16" s="30" t="s">
        <v>172</v>
      </c>
      <c r="E16" s="30" t="s">
        <v>173</v>
      </c>
      <c r="F16" s="30" t="s">
        <v>174</v>
      </c>
      <c r="G16" s="45" t="s">
        <v>81</v>
      </c>
      <c r="H16" s="45" t="s">
        <v>178</v>
      </c>
      <c r="I16" s="33">
        <v>2365.02</v>
      </c>
    </row>
    <row r="17" spans="1:9" x14ac:dyDescent="0.2">
      <c r="A17" s="45">
        <v>11</v>
      </c>
      <c r="B17" s="45" t="s">
        <v>180</v>
      </c>
      <c r="C17" s="45" t="s">
        <v>181</v>
      </c>
      <c r="D17" s="30" t="s">
        <v>182</v>
      </c>
      <c r="E17" s="30" t="s">
        <v>183</v>
      </c>
      <c r="F17" s="30" t="s">
        <v>184</v>
      </c>
      <c r="G17" s="45" t="s">
        <v>81</v>
      </c>
      <c r="H17" s="45" t="s">
        <v>185</v>
      </c>
      <c r="I17" s="33">
        <v>2027.12</v>
      </c>
    </row>
    <row r="18" spans="1:9" x14ac:dyDescent="0.2">
      <c r="A18" s="45">
        <v>12</v>
      </c>
      <c r="B18" s="45" t="s">
        <v>188</v>
      </c>
      <c r="C18" s="45" t="s">
        <v>189</v>
      </c>
      <c r="D18" s="30" t="s">
        <v>190</v>
      </c>
      <c r="E18" s="30" t="s">
        <v>191</v>
      </c>
      <c r="F18" s="30" t="s">
        <v>192</v>
      </c>
      <c r="G18" s="45" t="s">
        <v>81</v>
      </c>
      <c r="H18" s="45" t="s">
        <v>193</v>
      </c>
      <c r="I18" s="33">
        <v>3030.77</v>
      </c>
    </row>
    <row r="19" spans="1:9" x14ac:dyDescent="0.2">
      <c r="A19" s="45">
        <v>13</v>
      </c>
      <c r="B19" s="45" t="s">
        <v>195</v>
      </c>
      <c r="C19" s="45" t="s">
        <v>196</v>
      </c>
      <c r="D19" s="30" t="s">
        <v>197</v>
      </c>
      <c r="E19" s="30" t="s">
        <v>198</v>
      </c>
      <c r="F19" s="30" t="s">
        <v>199</v>
      </c>
      <c r="G19" s="45" t="s">
        <v>81</v>
      </c>
      <c r="H19" s="45" t="s">
        <v>200</v>
      </c>
      <c r="I19" s="33">
        <v>1864.29</v>
      </c>
    </row>
    <row r="20" spans="1:9" x14ac:dyDescent="0.2">
      <c r="A20" s="45">
        <v>14</v>
      </c>
      <c r="B20" s="45" t="s">
        <v>202</v>
      </c>
      <c r="C20" s="45" t="s">
        <v>203</v>
      </c>
      <c r="D20" s="30" t="s">
        <v>204</v>
      </c>
      <c r="E20" s="30" t="s">
        <v>205</v>
      </c>
      <c r="F20" s="30" t="s">
        <v>206</v>
      </c>
      <c r="G20" s="45" t="s">
        <v>81</v>
      </c>
      <c r="H20" s="45" t="s">
        <v>207</v>
      </c>
      <c r="I20" s="33">
        <v>2984.29</v>
      </c>
    </row>
    <row r="21" spans="1:9" x14ac:dyDescent="0.2">
      <c r="A21" s="45">
        <v>15</v>
      </c>
      <c r="B21" s="45" t="s">
        <v>216</v>
      </c>
      <c r="C21" s="45" t="s">
        <v>217</v>
      </c>
      <c r="D21" s="30" t="s">
        <v>218</v>
      </c>
      <c r="E21" s="30" t="s">
        <v>219</v>
      </c>
      <c r="F21" s="30" t="s">
        <v>220</v>
      </c>
      <c r="G21" s="45" t="s">
        <v>81</v>
      </c>
      <c r="H21" s="45" t="s">
        <v>221</v>
      </c>
      <c r="I21" s="33">
        <v>1751.67</v>
      </c>
    </row>
    <row r="22" spans="1:9" x14ac:dyDescent="0.2">
      <c r="A22" s="45">
        <v>16</v>
      </c>
      <c r="B22" s="45" t="s">
        <v>223</v>
      </c>
      <c r="C22" s="45" t="s">
        <v>224</v>
      </c>
      <c r="D22" s="30" t="s">
        <v>225</v>
      </c>
      <c r="E22" s="30" t="s">
        <v>226</v>
      </c>
      <c r="F22" s="30" t="s">
        <v>227</v>
      </c>
      <c r="G22" s="45" t="s">
        <v>81</v>
      </c>
      <c r="H22" s="45" t="s">
        <v>229</v>
      </c>
      <c r="I22" s="33">
        <v>1670.78</v>
      </c>
    </row>
    <row r="23" spans="1:9" x14ac:dyDescent="0.2">
      <c r="A23" s="45">
        <v>17</v>
      </c>
      <c r="B23" s="45" t="s">
        <v>231</v>
      </c>
      <c r="C23" s="45" t="s">
        <v>232</v>
      </c>
      <c r="D23" s="30" t="s">
        <v>233</v>
      </c>
      <c r="E23" s="30" t="s">
        <v>234</v>
      </c>
      <c r="F23" s="30" t="s">
        <v>235</v>
      </c>
      <c r="G23" s="45" t="s">
        <v>81</v>
      </c>
      <c r="H23" s="45" t="s">
        <v>236</v>
      </c>
      <c r="I23" s="33">
        <v>1783.02</v>
      </c>
    </row>
    <row r="24" spans="1:9" x14ac:dyDescent="0.2">
      <c r="A24" s="45">
        <v>18</v>
      </c>
      <c r="B24" s="45" t="s">
        <v>238</v>
      </c>
      <c r="C24" s="45" t="s">
        <v>239</v>
      </c>
      <c r="D24" s="30" t="s">
        <v>240</v>
      </c>
      <c r="E24" s="30" t="s">
        <v>241</v>
      </c>
      <c r="F24" s="30" t="s">
        <v>242</v>
      </c>
      <c r="G24" s="45" t="s">
        <v>81</v>
      </c>
      <c r="H24" s="45" t="s">
        <v>244</v>
      </c>
      <c r="I24" s="33">
        <v>1889.88</v>
      </c>
    </row>
    <row r="25" spans="1:9" x14ac:dyDescent="0.2">
      <c r="A25" s="45">
        <v>19</v>
      </c>
      <c r="B25" s="45" t="s">
        <v>246</v>
      </c>
      <c r="C25" s="45" t="s">
        <v>247</v>
      </c>
      <c r="D25" s="30" t="s">
        <v>248</v>
      </c>
      <c r="E25" s="30" t="s">
        <v>249</v>
      </c>
      <c r="F25" s="30" t="s">
        <v>98</v>
      </c>
      <c r="G25" s="45" t="s">
        <v>81</v>
      </c>
      <c r="H25" s="45" t="s">
        <v>250</v>
      </c>
      <c r="I25" s="33">
        <v>1809.9</v>
      </c>
    </row>
    <row r="26" spans="1:9" x14ac:dyDescent="0.2">
      <c r="A26" s="45">
        <v>20</v>
      </c>
      <c r="B26" s="45" t="s">
        <v>265</v>
      </c>
      <c r="C26" s="45" t="s">
        <v>266</v>
      </c>
      <c r="D26" s="30" t="s">
        <v>267</v>
      </c>
      <c r="E26" s="30" t="s">
        <v>268</v>
      </c>
      <c r="F26" s="30" t="s">
        <v>269</v>
      </c>
      <c r="G26" s="45" t="s">
        <v>81</v>
      </c>
      <c r="H26" s="45" t="s">
        <v>271</v>
      </c>
      <c r="I26" s="33">
        <v>1771.07</v>
      </c>
    </row>
    <row r="27" spans="1:9" x14ac:dyDescent="0.2">
      <c r="A27" s="49"/>
      <c r="B27" s="50"/>
      <c r="C27" s="50"/>
      <c r="D27" s="50"/>
      <c r="E27" s="50"/>
      <c r="F27" s="50"/>
      <c r="G27" s="50"/>
      <c r="H27" s="51"/>
      <c r="I27" s="36">
        <f>SUM(I7:I26)</f>
        <v>46100.719999999994</v>
      </c>
    </row>
    <row r="30" spans="1:9" ht="20.399999999999999" x14ac:dyDescent="0.2">
      <c r="A30" s="39" t="s">
        <v>2</v>
      </c>
      <c r="B30" s="40" t="s">
        <v>3</v>
      </c>
      <c r="C30" s="40" t="s">
        <v>4</v>
      </c>
      <c r="D30" s="40" t="s">
        <v>5</v>
      </c>
      <c r="E30" s="40" t="s">
        <v>6</v>
      </c>
      <c r="F30" s="40" t="s">
        <v>7</v>
      </c>
      <c r="G30" s="40" t="s">
        <v>18</v>
      </c>
      <c r="H30" s="40" t="s">
        <v>19</v>
      </c>
      <c r="I30" s="43" t="s">
        <v>58</v>
      </c>
    </row>
    <row r="31" spans="1:9" x14ac:dyDescent="0.2">
      <c r="A31" s="45">
        <v>1</v>
      </c>
      <c r="B31" s="45" t="s">
        <v>59</v>
      </c>
      <c r="C31" s="45" t="s">
        <v>60</v>
      </c>
      <c r="D31" s="30" t="s">
        <v>61</v>
      </c>
      <c r="E31" s="30" t="s">
        <v>62</v>
      </c>
      <c r="F31" s="30" t="s">
        <v>63</v>
      </c>
      <c r="G31" s="45" t="s">
        <v>72</v>
      </c>
      <c r="H31" s="45" t="s">
        <v>73</v>
      </c>
      <c r="I31" s="33">
        <v>3086.63</v>
      </c>
    </row>
    <row r="32" spans="1:9" x14ac:dyDescent="0.2">
      <c r="A32" s="45">
        <v>2</v>
      </c>
      <c r="B32" s="45" t="s">
        <v>111</v>
      </c>
      <c r="C32" s="45" t="s">
        <v>112</v>
      </c>
      <c r="D32" s="30" t="s">
        <v>113</v>
      </c>
      <c r="E32" s="30" t="s">
        <v>114</v>
      </c>
      <c r="F32" s="30" t="s">
        <v>115</v>
      </c>
      <c r="G32" s="45" t="s">
        <v>72</v>
      </c>
      <c r="H32" s="45" t="s">
        <v>117</v>
      </c>
      <c r="I32" s="33">
        <v>2095.66</v>
      </c>
    </row>
    <row r="33" spans="1:13" x14ac:dyDescent="0.2">
      <c r="A33" s="45">
        <v>3</v>
      </c>
      <c r="B33" s="45" t="s">
        <v>149</v>
      </c>
      <c r="C33" s="45" t="s">
        <v>150</v>
      </c>
      <c r="D33" s="30" t="s">
        <v>151</v>
      </c>
      <c r="E33" s="30" t="s">
        <v>152</v>
      </c>
      <c r="F33" s="30" t="s">
        <v>153</v>
      </c>
      <c r="G33" s="45" t="s">
        <v>72</v>
      </c>
      <c r="H33" s="45" t="s">
        <v>155</v>
      </c>
      <c r="I33" s="33">
        <v>1846.8</v>
      </c>
    </row>
    <row r="34" spans="1:13" x14ac:dyDescent="0.2">
      <c r="A34" s="45">
        <v>4</v>
      </c>
      <c r="B34" s="45" t="s">
        <v>164</v>
      </c>
      <c r="C34" s="45" t="s">
        <v>165</v>
      </c>
      <c r="D34" s="30" t="s">
        <v>166</v>
      </c>
      <c r="E34" s="30" t="s">
        <v>167</v>
      </c>
      <c r="F34" s="30" t="s">
        <v>168</v>
      </c>
      <c r="G34" s="45" t="s">
        <v>72</v>
      </c>
      <c r="H34" s="45" t="s">
        <v>169</v>
      </c>
      <c r="I34" s="33">
        <v>3150.9</v>
      </c>
    </row>
    <row r="35" spans="1:13" x14ac:dyDescent="0.2">
      <c r="A35" s="45">
        <v>5</v>
      </c>
      <c r="B35" s="45" t="s">
        <v>208</v>
      </c>
      <c r="C35" s="45" t="s">
        <v>209</v>
      </c>
      <c r="D35" s="30" t="s">
        <v>210</v>
      </c>
      <c r="E35" s="30" t="s">
        <v>211</v>
      </c>
      <c r="F35" s="30" t="s">
        <v>212</v>
      </c>
      <c r="G35" s="45" t="s">
        <v>72</v>
      </c>
      <c r="H35" s="45" t="s">
        <v>214</v>
      </c>
      <c r="I35" s="33">
        <v>2937.88</v>
      </c>
    </row>
    <row r="36" spans="1:13" x14ac:dyDescent="0.2">
      <c r="A36" s="45">
        <v>6</v>
      </c>
      <c r="B36" s="45" t="s">
        <v>251</v>
      </c>
      <c r="C36" s="45" t="s">
        <v>252</v>
      </c>
      <c r="D36" s="30" t="s">
        <v>253</v>
      </c>
      <c r="E36" s="30" t="s">
        <v>254</v>
      </c>
      <c r="F36" s="30" t="s">
        <v>255</v>
      </c>
      <c r="G36" s="45" t="s">
        <v>72</v>
      </c>
      <c r="H36" s="45" t="s">
        <v>256</v>
      </c>
      <c r="I36" s="33">
        <v>1821.7</v>
      </c>
    </row>
    <row r="37" spans="1:13" x14ac:dyDescent="0.2">
      <c r="A37" s="45">
        <v>7</v>
      </c>
      <c r="B37" s="45" t="s">
        <v>258</v>
      </c>
      <c r="C37" s="45" t="s">
        <v>259</v>
      </c>
      <c r="D37" s="30" t="s">
        <v>260</v>
      </c>
      <c r="E37" s="30" t="s">
        <v>261</v>
      </c>
      <c r="F37" s="30" t="s">
        <v>262</v>
      </c>
      <c r="G37" s="45" t="s">
        <v>72</v>
      </c>
      <c r="H37" s="45" t="s">
        <v>263</v>
      </c>
      <c r="I37" s="33">
        <v>1783.02</v>
      </c>
    </row>
    <row r="38" spans="1:13" x14ac:dyDescent="0.2">
      <c r="A38" s="45">
        <v>8</v>
      </c>
      <c r="B38" s="45" t="s">
        <v>273</v>
      </c>
      <c r="C38" s="45" t="s">
        <v>274</v>
      </c>
      <c r="D38" s="30" t="s">
        <v>275</v>
      </c>
      <c r="E38" s="30" t="s">
        <v>276</v>
      </c>
      <c r="F38" s="30" t="s">
        <v>168</v>
      </c>
      <c r="G38" s="45" t="s">
        <v>72</v>
      </c>
      <c r="H38" s="45" t="s">
        <v>277</v>
      </c>
      <c r="I38" s="33">
        <v>1802.8</v>
      </c>
    </row>
    <row r="39" spans="1:13" x14ac:dyDescent="0.2">
      <c r="A39" s="49"/>
      <c r="B39" s="50"/>
      <c r="C39" s="50"/>
      <c r="D39" s="50"/>
      <c r="E39" s="50"/>
      <c r="F39" s="50"/>
      <c r="G39" s="50"/>
      <c r="H39" s="51"/>
      <c r="I39" s="36">
        <f>SUM(I31:I38)</f>
        <v>18525.39</v>
      </c>
    </row>
    <row r="40" spans="1:13" x14ac:dyDescent="0.2">
      <c r="K40" s="52" t="s">
        <v>291</v>
      </c>
      <c r="L40" s="52" t="s">
        <v>292</v>
      </c>
      <c r="M40" s="52" t="s">
        <v>293</v>
      </c>
    </row>
    <row r="41" spans="1:13" x14ac:dyDescent="0.2">
      <c r="K41" s="53" t="s">
        <v>294</v>
      </c>
      <c r="L41" s="54">
        <f>+A26</f>
        <v>20</v>
      </c>
      <c r="M41" s="55">
        <f>+I27</f>
        <v>46100.719999999994</v>
      </c>
    </row>
    <row r="42" spans="1:13" x14ac:dyDescent="0.2">
      <c r="K42" s="53" t="s">
        <v>295</v>
      </c>
      <c r="L42" s="54">
        <f>+A38</f>
        <v>8</v>
      </c>
      <c r="M42" s="55">
        <f>+I39</f>
        <v>18525.39</v>
      </c>
    </row>
    <row r="43" spans="1:13" x14ac:dyDescent="0.2">
      <c r="K43" s="56"/>
      <c r="L43" s="57">
        <f>SUM(L41:L42)</f>
        <v>28</v>
      </c>
      <c r="M43" s="58">
        <f>SUM(M41:M42)</f>
        <v>64626.109999999993</v>
      </c>
    </row>
  </sheetData>
  <autoFilter ref="A6:J27" xr:uid="{0992F09A-21AD-42F6-87BF-052B907FFC42}"/>
  <mergeCells count="3">
    <mergeCell ref="A4:D4"/>
    <mergeCell ref="A27:H27"/>
    <mergeCell ref="A39:H39"/>
  </mergeCells>
  <pageMargins left="0.75" right="0.75" top="0.75" bottom="0.5" header="0.5" footer="0.7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2F09A-21AD-42F6-87BF-052B907FFC42}">
  <dimension ref="A3:BE43"/>
  <sheetViews>
    <sheetView workbookViewId="0">
      <pane xSplit="6" ySplit="6" topLeftCell="G7" activePane="bottomRight" state="frozen"/>
      <selection pane="topRight" activeCell="G1" sqref="G1"/>
      <selection pane="bottomLeft" activeCell="A7" sqref="A7"/>
      <selection pane="bottomRight" activeCell="G7" sqref="G7"/>
    </sheetView>
  </sheetViews>
  <sheetFormatPr baseColWidth="10" defaultColWidth="9.109375" defaultRowHeight="10.199999999999999" x14ac:dyDescent="0.2"/>
  <cols>
    <col min="1" max="1" width="3.88671875" style="27" customWidth="1"/>
    <col min="2" max="2" width="10.33203125" style="27" customWidth="1"/>
    <col min="3" max="3" width="12.6640625" style="27" customWidth="1"/>
    <col min="4" max="4" width="12.21875" style="27" customWidth="1"/>
    <col min="5" max="5" width="11.21875" style="27" customWidth="1"/>
    <col min="6" max="6" width="12" style="27" customWidth="1"/>
    <col min="7" max="7" width="9.77734375" style="46" customWidth="1"/>
    <col min="8" max="8" width="10.33203125" style="46" customWidth="1"/>
    <col min="9" max="9" width="5.5546875" style="46" customWidth="1"/>
    <col min="10" max="10" width="12.77734375" style="46" customWidth="1"/>
    <col min="11" max="11" width="34.33203125" style="27" customWidth="1"/>
    <col min="12" max="12" width="10.33203125" style="46" customWidth="1"/>
    <col min="13" max="13" width="16.88671875" style="46" customWidth="1"/>
    <col min="14" max="14" width="10.5546875" style="46" customWidth="1"/>
    <col min="15" max="15" width="20.109375" style="27" bestFit="1" customWidth="1"/>
    <col min="16" max="16" width="35.44140625" style="27" customWidth="1"/>
    <col min="17" max="17" width="8.21875" style="46" customWidth="1"/>
    <col min="18" max="18" width="20.109375" style="46" customWidth="1"/>
    <col min="19" max="19" width="14.109375" style="27" customWidth="1"/>
    <col min="20" max="20" width="15.88671875" style="27" customWidth="1"/>
    <col min="21" max="21" width="11.33203125" style="46" customWidth="1"/>
    <col min="22" max="22" width="12.109375" style="27" customWidth="1"/>
    <col min="23" max="23" width="14" style="27" customWidth="1"/>
    <col min="24" max="26" width="10.109375" style="27" customWidth="1"/>
    <col min="27" max="29" width="11.21875" style="27" customWidth="1"/>
    <col min="30" max="30" width="12.6640625" style="27" customWidth="1"/>
    <col min="31" max="31" width="10.109375" style="27" customWidth="1"/>
    <col min="32" max="38" width="11.77734375" style="27" customWidth="1"/>
    <col min="39" max="39" width="10.21875" style="27" bestFit="1" customWidth="1"/>
    <col min="40" max="47" width="12.21875" style="27" customWidth="1"/>
    <col min="48" max="48" width="11.33203125" style="27" customWidth="1"/>
    <col min="49" max="51" width="9.109375" style="27"/>
    <col min="52" max="52" width="9.6640625" style="27" customWidth="1"/>
    <col min="53" max="53" width="12.109375" style="27" customWidth="1"/>
    <col min="54" max="54" width="10" style="27" bestFit="1" customWidth="1"/>
    <col min="55" max="55" width="11.44140625" style="27" customWidth="1"/>
    <col min="56" max="56" width="11.5546875" style="27" customWidth="1"/>
    <col min="57" max="57" width="10" style="27" bestFit="1" customWidth="1"/>
    <col min="58" max="16384" width="9.109375" style="27"/>
  </cols>
  <sheetData>
    <row r="3" spans="1:57" x14ac:dyDescent="0.2">
      <c r="A3" s="26" t="s">
        <v>0</v>
      </c>
    </row>
    <row r="4" spans="1:57" x14ac:dyDescent="0.2">
      <c r="A4" s="28" t="s">
        <v>1</v>
      </c>
      <c r="B4" s="29"/>
      <c r="C4" s="29"/>
      <c r="D4" s="29"/>
    </row>
    <row r="6" spans="1:57" s="44" customFormat="1" ht="25.2" customHeight="1" x14ac:dyDescent="0.3">
      <c r="A6" s="39" t="s">
        <v>2</v>
      </c>
      <c r="B6" s="40" t="s">
        <v>3</v>
      </c>
      <c r="C6" s="40" t="s">
        <v>4</v>
      </c>
      <c r="D6" s="40" t="s">
        <v>5</v>
      </c>
      <c r="E6" s="40" t="s">
        <v>6</v>
      </c>
      <c r="F6" s="40" t="s">
        <v>7</v>
      </c>
      <c r="G6" s="40" t="s">
        <v>8</v>
      </c>
      <c r="H6" s="40" t="s">
        <v>9</v>
      </c>
      <c r="I6" s="40" t="s">
        <v>10</v>
      </c>
      <c r="J6" s="40" t="s">
        <v>11</v>
      </c>
      <c r="K6" s="40" t="s">
        <v>12</v>
      </c>
      <c r="L6" s="40" t="s">
        <v>13</v>
      </c>
      <c r="M6" s="40" t="s">
        <v>14</v>
      </c>
      <c r="N6" s="40" t="s">
        <v>15</v>
      </c>
      <c r="O6" s="40" t="s">
        <v>16</v>
      </c>
      <c r="P6" s="40" t="s">
        <v>17</v>
      </c>
      <c r="Q6" s="40" t="s">
        <v>18</v>
      </c>
      <c r="R6" s="40" t="s">
        <v>19</v>
      </c>
      <c r="S6" s="40" t="s">
        <v>20</v>
      </c>
      <c r="T6" s="40" t="s">
        <v>21</v>
      </c>
      <c r="U6" s="40" t="s">
        <v>22</v>
      </c>
      <c r="V6" s="40" t="s">
        <v>23</v>
      </c>
      <c r="W6" s="40" t="s">
        <v>24</v>
      </c>
      <c r="X6" s="40" t="s">
        <v>25</v>
      </c>
      <c r="Y6" s="40" t="s">
        <v>26</v>
      </c>
      <c r="Z6" s="40" t="s">
        <v>27</v>
      </c>
      <c r="AA6" s="41" t="s">
        <v>28</v>
      </c>
      <c r="AB6" s="41" t="s">
        <v>29</v>
      </c>
      <c r="AC6" s="41" t="s">
        <v>30</v>
      </c>
      <c r="AD6" s="42" t="s">
        <v>31</v>
      </c>
      <c r="AE6" s="42" t="s">
        <v>32</v>
      </c>
      <c r="AF6" s="40" t="s">
        <v>33</v>
      </c>
      <c r="AG6" s="40" t="s">
        <v>34</v>
      </c>
      <c r="AH6" s="40" t="s">
        <v>35</v>
      </c>
      <c r="AI6" s="40" t="s">
        <v>36</v>
      </c>
      <c r="AJ6" s="40" t="s">
        <v>37</v>
      </c>
      <c r="AK6" s="40" t="s">
        <v>38</v>
      </c>
      <c r="AL6" s="43" t="s">
        <v>39</v>
      </c>
      <c r="AM6" s="40" t="s">
        <v>40</v>
      </c>
      <c r="AN6" s="40" t="s">
        <v>41</v>
      </c>
      <c r="AO6" s="40" t="s">
        <v>42</v>
      </c>
      <c r="AP6" s="40" t="s">
        <v>43</v>
      </c>
      <c r="AQ6" s="40" t="s">
        <v>44</v>
      </c>
      <c r="AR6" s="40" t="s">
        <v>45</v>
      </c>
      <c r="AS6" s="40" t="s">
        <v>46</v>
      </c>
      <c r="AT6" s="40" t="s">
        <v>47</v>
      </c>
      <c r="AU6" s="40" t="s">
        <v>48</v>
      </c>
      <c r="AV6" s="43" t="s">
        <v>49</v>
      </c>
      <c r="AW6" s="40" t="s">
        <v>50</v>
      </c>
      <c r="AX6" s="40" t="s">
        <v>51</v>
      </c>
      <c r="AY6" s="40" t="s">
        <v>52</v>
      </c>
      <c r="AZ6" s="40" t="s">
        <v>53</v>
      </c>
      <c r="BA6" s="40" t="s">
        <v>54</v>
      </c>
      <c r="BB6" s="40" t="s">
        <v>55</v>
      </c>
      <c r="BC6" s="40" t="s">
        <v>56</v>
      </c>
      <c r="BD6" s="43" t="s">
        <v>57</v>
      </c>
      <c r="BE6" s="43" t="s">
        <v>58</v>
      </c>
    </row>
    <row r="7" spans="1:57" x14ac:dyDescent="0.2">
      <c r="A7" s="30">
        <v>1</v>
      </c>
      <c r="B7" s="45" t="s">
        <v>59</v>
      </c>
      <c r="C7" s="45" t="s">
        <v>60</v>
      </c>
      <c r="D7" s="30" t="s">
        <v>61</v>
      </c>
      <c r="E7" s="30" t="s">
        <v>62</v>
      </c>
      <c r="F7" s="30" t="s">
        <v>63</v>
      </c>
      <c r="G7" s="45" t="s">
        <v>64</v>
      </c>
      <c r="H7" s="45" t="s">
        <v>59</v>
      </c>
      <c r="I7" s="45" t="s">
        <v>65</v>
      </c>
      <c r="J7" s="47">
        <v>31186</v>
      </c>
      <c r="K7" s="30" t="s">
        <v>66</v>
      </c>
      <c r="L7" s="45" t="s">
        <v>67</v>
      </c>
      <c r="M7" s="45" t="s">
        <v>68</v>
      </c>
      <c r="N7" s="45" t="s">
        <v>69</v>
      </c>
      <c r="O7" s="30" t="s">
        <v>70</v>
      </c>
      <c r="P7" s="30" t="s">
        <v>71</v>
      </c>
      <c r="Q7" s="45" t="s">
        <v>72</v>
      </c>
      <c r="R7" s="45" t="s">
        <v>73</v>
      </c>
      <c r="S7" s="30" t="s">
        <v>74</v>
      </c>
      <c r="T7" s="30"/>
      <c r="U7" s="47">
        <v>45969</v>
      </c>
      <c r="V7" s="30"/>
      <c r="W7" s="30"/>
      <c r="X7" s="31">
        <v>30</v>
      </c>
      <c r="Y7" s="30"/>
      <c r="Z7" s="30"/>
      <c r="AA7" s="30"/>
      <c r="AB7" s="30"/>
      <c r="AC7" s="31">
        <v>11</v>
      </c>
      <c r="AD7" s="32">
        <v>6750</v>
      </c>
      <c r="AE7" s="32">
        <v>113</v>
      </c>
      <c r="AF7" s="31">
        <v>6750</v>
      </c>
      <c r="AG7" s="31">
        <v>113</v>
      </c>
      <c r="AH7" s="30"/>
      <c r="AI7" s="30"/>
      <c r="AJ7" s="31">
        <v>629.12</v>
      </c>
      <c r="AK7" s="30"/>
      <c r="AL7" s="33">
        <v>7492.12</v>
      </c>
      <c r="AM7" s="31">
        <v>2745.2</v>
      </c>
      <c r="AN7" s="31">
        <v>973.98</v>
      </c>
      <c r="AO7" s="31">
        <v>648.85</v>
      </c>
      <c r="AP7" s="30"/>
      <c r="AQ7" s="30"/>
      <c r="AR7" s="30"/>
      <c r="AS7" s="30"/>
      <c r="AT7" s="30"/>
      <c r="AU7" s="31">
        <v>37.46</v>
      </c>
      <c r="AV7" s="33">
        <v>4405.49</v>
      </c>
      <c r="AW7" s="31">
        <v>505.72</v>
      </c>
      <c r="AX7" s="31">
        <v>168.57</v>
      </c>
      <c r="AY7" s="31">
        <v>52.44</v>
      </c>
      <c r="AZ7" s="31">
        <v>37.46</v>
      </c>
      <c r="BA7" s="31">
        <v>56.19</v>
      </c>
      <c r="BB7" s="31">
        <v>12.74</v>
      </c>
      <c r="BC7" s="30"/>
      <c r="BD7" s="33">
        <v>833.12</v>
      </c>
      <c r="BE7" s="33">
        <v>3086.63</v>
      </c>
    </row>
    <row r="8" spans="1:57" x14ac:dyDescent="0.2">
      <c r="A8" s="30">
        <v>2</v>
      </c>
      <c r="B8" s="45" t="s">
        <v>75</v>
      </c>
      <c r="C8" s="45" t="s">
        <v>76</v>
      </c>
      <c r="D8" s="30" t="s">
        <v>77</v>
      </c>
      <c r="E8" s="30" t="s">
        <v>78</v>
      </c>
      <c r="F8" s="30" t="s">
        <v>79</v>
      </c>
      <c r="G8" s="45" t="s">
        <v>64</v>
      </c>
      <c r="H8" s="45" t="s">
        <v>75</v>
      </c>
      <c r="I8" s="45" t="s">
        <v>65</v>
      </c>
      <c r="J8" s="47">
        <v>30469</v>
      </c>
      <c r="K8" s="30" t="s">
        <v>66</v>
      </c>
      <c r="L8" s="45" t="s">
        <v>67</v>
      </c>
      <c r="M8" s="45" t="s">
        <v>68</v>
      </c>
      <c r="N8" s="45" t="s">
        <v>69</v>
      </c>
      <c r="O8" s="30" t="s">
        <v>70</v>
      </c>
      <c r="P8" s="30" t="s">
        <v>80</v>
      </c>
      <c r="Q8" s="45" t="s">
        <v>81</v>
      </c>
      <c r="R8" s="45" t="s">
        <v>82</v>
      </c>
      <c r="S8" s="30" t="s">
        <v>83</v>
      </c>
      <c r="T8" s="30" t="s">
        <v>84</v>
      </c>
      <c r="U8" s="47">
        <v>45964</v>
      </c>
      <c r="V8" s="30"/>
      <c r="W8" s="30"/>
      <c r="X8" s="31">
        <v>30</v>
      </c>
      <c r="Y8" s="30"/>
      <c r="Z8" s="30"/>
      <c r="AA8" s="30"/>
      <c r="AB8" s="30"/>
      <c r="AC8" s="31">
        <v>11</v>
      </c>
      <c r="AD8" s="32">
        <v>6750</v>
      </c>
      <c r="AE8" s="32">
        <v>113</v>
      </c>
      <c r="AF8" s="31">
        <v>6750</v>
      </c>
      <c r="AG8" s="31">
        <v>113</v>
      </c>
      <c r="AH8" s="30"/>
      <c r="AI8" s="30"/>
      <c r="AJ8" s="31">
        <v>629.12</v>
      </c>
      <c r="AK8" s="30"/>
      <c r="AL8" s="33">
        <v>7492.12</v>
      </c>
      <c r="AM8" s="31">
        <v>2745.2</v>
      </c>
      <c r="AN8" s="30"/>
      <c r="AO8" s="31">
        <v>648.85</v>
      </c>
      <c r="AP8" s="30"/>
      <c r="AQ8" s="31">
        <v>749.21</v>
      </c>
      <c r="AR8" s="30"/>
      <c r="AS8" s="31">
        <v>102.64</v>
      </c>
      <c r="AT8" s="31">
        <v>149.84</v>
      </c>
      <c r="AU8" s="31">
        <v>37.46</v>
      </c>
      <c r="AV8" s="33">
        <v>4433.2</v>
      </c>
      <c r="AW8" s="31">
        <v>505.72</v>
      </c>
      <c r="AX8" s="31">
        <v>168.57</v>
      </c>
      <c r="AY8" s="31">
        <v>52.44</v>
      </c>
      <c r="AZ8" s="31">
        <v>37.46</v>
      </c>
      <c r="BA8" s="31">
        <v>56.19</v>
      </c>
      <c r="BB8" s="31">
        <v>12.74</v>
      </c>
      <c r="BC8" s="31">
        <v>149.84</v>
      </c>
      <c r="BD8" s="33">
        <v>982.96</v>
      </c>
      <c r="BE8" s="33">
        <v>3058.92</v>
      </c>
    </row>
    <row r="9" spans="1:57" x14ac:dyDescent="0.2">
      <c r="A9" s="30">
        <v>3</v>
      </c>
      <c r="B9" s="45" t="s">
        <v>85</v>
      </c>
      <c r="C9" s="45" t="s">
        <v>86</v>
      </c>
      <c r="D9" s="30" t="s">
        <v>87</v>
      </c>
      <c r="E9" s="30" t="s">
        <v>88</v>
      </c>
      <c r="F9" s="30" t="s">
        <v>89</v>
      </c>
      <c r="G9" s="45" t="s">
        <v>64</v>
      </c>
      <c r="H9" s="45" t="s">
        <v>85</v>
      </c>
      <c r="I9" s="45" t="s">
        <v>65</v>
      </c>
      <c r="J9" s="47">
        <v>30787</v>
      </c>
      <c r="K9" s="30" t="s">
        <v>90</v>
      </c>
      <c r="L9" s="45" t="s">
        <v>67</v>
      </c>
      <c r="M9" s="45" t="s">
        <v>68</v>
      </c>
      <c r="N9" s="45" t="s">
        <v>69</v>
      </c>
      <c r="O9" s="30" t="s">
        <v>70</v>
      </c>
      <c r="P9" s="30" t="s">
        <v>91</v>
      </c>
      <c r="Q9" s="45" t="s">
        <v>81</v>
      </c>
      <c r="R9" s="45" t="s">
        <v>92</v>
      </c>
      <c r="S9" s="30" t="s">
        <v>83</v>
      </c>
      <c r="T9" s="30" t="s">
        <v>93</v>
      </c>
      <c r="U9" s="47">
        <v>45957</v>
      </c>
      <c r="V9" s="30"/>
      <c r="W9" s="30"/>
      <c r="X9" s="31">
        <v>30</v>
      </c>
      <c r="Y9" s="30"/>
      <c r="Z9" s="30"/>
      <c r="AA9" s="30"/>
      <c r="AB9" s="30"/>
      <c r="AC9" s="31">
        <v>11</v>
      </c>
      <c r="AD9" s="32">
        <v>3400</v>
      </c>
      <c r="AE9" s="32">
        <v>113</v>
      </c>
      <c r="AF9" s="31">
        <v>3400</v>
      </c>
      <c r="AG9" s="31">
        <v>113</v>
      </c>
      <c r="AH9" s="30"/>
      <c r="AI9" s="30"/>
      <c r="AJ9" s="31">
        <v>322.02999999999997</v>
      </c>
      <c r="AK9" s="30"/>
      <c r="AL9" s="33">
        <v>3835.03</v>
      </c>
      <c r="AM9" s="31">
        <v>1405.2</v>
      </c>
      <c r="AN9" s="30"/>
      <c r="AO9" s="31">
        <v>115.3</v>
      </c>
      <c r="AP9" s="30"/>
      <c r="AQ9" s="31">
        <v>383.5</v>
      </c>
      <c r="AR9" s="30"/>
      <c r="AS9" s="31">
        <v>52.54</v>
      </c>
      <c r="AT9" s="31">
        <v>76.7</v>
      </c>
      <c r="AU9" s="31">
        <v>19.18</v>
      </c>
      <c r="AV9" s="33">
        <v>2052.42</v>
      </c>
      <c r="AW9" s="31">
        <v>345.15</v>
      </c>
      <c r="AX9" s="30"/>
      <c r="AY9" s="31">
        <v>26.85</v>
      </c>
      <c r="AZ9" s="31">
        <v>19.18</v>
      </c>
      <c r="BA9" s="31">
        <v>28.76</v>
      </c>
      <c r="BB9" s="31">
        <v>6.52</v>
      </c>
      <c r="BC9" s="31">
        <v>76.7</v>
      </c>
      <c r="BD9" s="33">
        <v>503.16</v>
      </c>
      <c r="BE9" s="33">
        <v>1782.61</v>
      </c>
    </row>
    <row r="10" spans="1:57" x14ac:dyDescent="0.2">
      <c r="A10" s="30">
        <v>4</v>
      </c>
      <c r="B10" s="45" t="s">
        <v>94</v>
      </c>
      <c r="C10" s="45" t="s">
        <v>95</v>
      </c>
      <c r="D10" s="30" t="s">
        <v>96</v>
      </c>
      <c r="E10" s="30" t="s">
        <v>97</v>
      </c>
      <c r="F10" s="30" t="s">
        <v>98</v>
      </c>
      <c r="G10" s="45" t="s">
        <v>64</v>
      </c>
      <c r="H10" s="45" t="s">
        <v>94</v>
      </c>
      <c r="I10" s="45" t="s">
        <v>65</v>
      </c>
      <c r="J10" s="47">
        <v>32078</v>
      </c>
      <c r="K10" s="30" t="s">
        <v>99</v>
      </c>
      <c r="L10" s="45" t="s">
        <v>67</v>
      </c>
      <c r="M10" s="45" t="s">
        <v>68</v>
      </c>
      <c r="N10" s="45" t="s">
        <v>69</v>
      </c>
      <c r="O10" s="30" t="s">
        <v>70</v>
      </c>
      <c r="P10" s="30" t="s">
        <v>91</v>
      </c>
      <c r="Q10" s="45" t="s">
        <v>81</v>
      </c>
      <c r="R10" s="45" t="s">
        <v>100</v>
      </c>
      <c r="S10" s="30" t="s">
        <v>101</v>
      </c>
      <c r="T10" s="30" t="s">
        <v>102</v>
      </c>
      <c r="U10" s="47">
        <v>45974</v>
      </c>
      <c r="V10" s="30"/>
      <c r="W10" s="30"/>
      <c r="X10" s="31">
        <v>29</v>
      </c>
      <c r="Y10" s="31">
        <v>1</v>
      </c>
      <c r="Z10" s="30"/>
      <c r="AA10" s="30"/>
      <c r="AB10" s="30"/>
      <c r="AC10" s="31">
        <v>11</v>
      </c>
      <c r="AD10" s="32">
        <v>6500</v>
      </c>
      <c r="AE10" s="34"/>
      <c r="AF10" s="31">
        <v>6283.33</v>
      </c>
      <c r="AG10" s="30"/>
      <c r="AH10" s="30"/>
      <c r="AI10" s="30"/>
      <c r="AJ10" s="31">
        <v>595.84</v>
      </c>
      <c r="AK10" s="31">
        <v>216.67</v>
      </c>
      <c r="AL10" s="33">
        <v>7095.84</v>
      </c>
      <c r="AM10" s="31">
        <v>2600</v>
      </c>
      <c r="AN10" s="30"/>
      <c r="AO10" s="31">
        <v>594.57000000000005</v>
      </c>
      <c r="AP10" s="30"/>
      <c r="AQ10" s="31">
        <v>709.58</v>
      </c>
      <c r="AR10" s="30"/>
      <c r="AS10" s="31">
        <v>97.21</v>
      </c>
      <c r="AT10" s="31">
        <v>141.91999999999999</v>
      </c>
      <c r="AU10" s="31">
        <v>35.479999999999997</v>
      </c>
      <c r="AV10" s="33">
        <v>4178.76</v>
      </c>
      <c r="AW10" s="31">
        <v>478.97</v>
      </c>
      <c r="AX10" s="31">
        <v>159.66</v>
      </c>
      <c r="AY10" s="31">
        <v>49.67</v>
      </c>
      <c r="AZ10" s="31">
        <v>35.479999999999997</v>
      </c>
      <c r="BA10" s="31">
        <v>53.22</v>
      </c>
      <c r="BB10" s="31">
        <v>12.06</v>
      </c>
      <c r="BC10" s="31">
        <v>141.91999999999999</v>
      </c>
      <c r="BD10" s="33">
        <v>930.98</v>
      </c>
      <c r="BE10" s="33">
        <v>2917.08</v>
      </c>
    </row>
    <row r="11" spans="1:57" x14ac:dyDescent="0.2">
      <c r="A11" s="30">
        <v>5</v>
      </c>
      <c r="B11" s="45" t="s">
        <v>103</v>
      </c>
      <c r="C11" s="45" t="s">
        <v>104</v>
      </c>
      <c r="D11" s="30" t="s">
        <v>105</v>
      </c>
      <c r="E11" s="30" t="s">
        <v>106</v>
      </c>
      <c r="F11" s="30" t="s">
        <v>107</v>
      </c>
      <c r="G11" s="45" t="s">
        <v>64</v>
      </c>
      <c r="H11" s="45" t="s">
        <v>103</v>
      </c>
      <c r="I11" s="45" t="s">
        <v>65</v>
      </c>
      <c r="J11" s="47">
        <v>34171</v>
      </c>
      <c r="K11" s="30" t="s">
        <v>108</v>
      </c>
      <c r="L11" s="45" t="s">
        <v>67</v>
      </c>
      <c r="M11" s="45" t="s">
        <v>68</v>
      </c>
      <c r="N11" s="45" t="s">
        <v>69</v>
      </c>
      <c r="O11" s="30" t="s">
        <v>70</v>
      </c>
      <c r="P11" s="30" t="s">
        <v>91</v>
      </c>
      <c r="Q11" s="45" t="s">
        <v>81</v>
      </c>
      <c r="R11" s="45" t="s">
        <v>109</v>
      </c>
      <c r="S11" s="30" t="s">
        <v>101</v>
      </c>
      <c r="T11" s="30" t="s">
        <v>110</v>
      </c>
      <c r="U11" s="47">
        <v>45957</v>
      </c>
      <c r="V11" s="30"/>
      <c r="W11" s="30"/>
      <c r="X11" s="31">
        <v>23</v>
      </c>
      <c r="Y11" s="30"/>
      <c r="Z11" s="31">
        <v>7</v>
      </c>
      <c r="AA11" s="30"/>
      <c r="AB11" s="30"/>
      <c r="AC11" s="31">
        <v>11</v>
      </c>
      <c r="AD11" s="32">
        <v>3450</v>
      </c>
      <c r="AE11" s="34"/>
      <c r="AF11" s="31">
        <v>2645</v>
      </c>
      <c r="AG11" s="30"/>
      <c r="AH11" s="30"/>
      <c r="AI11" s="30"/>
      <c r="AJ11" s="31">
        <v>316.25</v>
      </c>
      <c r="AK11" s="30"/>
      <c r="AL11" s="33">
        <v>2961.25</v>
      </c>
      <c r="AM11" s="31">
        <v>1380</v>
      </c>
      <c r="AN11" s="30"/>
      <c r="AO11" s="31">
        <v>94</v>
      </c>
      <c r="AP11" s="30"/>
      <c r="AQ11" s="31">
        <v>296.13</v>
      </c>
      <c r="AR11" s="30"/>
      <c r="AS11" s="31">
        <v>40.57</v>
      </c>
      <c r="AT11" s="31">
        <v>59.23</v>
      </c>
      <c r="AU11" s="31">
        <v>14.81</v>
      </c>
      <c r="AV11" s="33">
        <v>1884.74</v>
      </c>
      <c r="AW11" s="31">
        <v>266.51</v>
      </c>
      <c r="AX11" s="30"/>
      <c r="AY11" s="31">
        <v>20.73</v>
      </c>
      <c r="AZ11" s="31">
        <v>14.81</v>
      </c>
      <c r="BA11" s="31">
        <v>22.21</v>
      </c>
      <c r="BB11" s="31">
        <v>3.26</v>
      </c>
      <c r="BC11" s="31">
        <v>59.23</v>
      </c>
      <c r="BD11" s="33">
        <v>386.75</v>
      </c>
      <c r="BE11" s="33">
        <v>1076.51</v>
      </c>
    </row>
    <row r="12" spans="1:57" x14ac:dyDescent="0.2">
      <c r="A12" s="30">
        <v>6</v>
      </c>
      <c r="B12" s="45" t="s">
        <v>111</v>
      </c>
      <c r="C12" s="45" t="s">
        <v>112</v>
      </c>
      <c r="D12" s="30" t="s">
        <v>113</v>
      </c>
      <c r="E12" s="30" t="s">
        <v>114</v>
      </c>
      <c r="F12" s="30" t="s">
        <v>115</v>
      </c>
      <c r="G12" s="45" t="s">
        <v>64</v>
      </c>
      <c r="H12" s="45" t="s">
        <v>111</v>
      </c>
      <c r="I12" s="45" t="s">
        <v>65</v>
      </c>
      <c r="J12" s="47">
        <v>30182</v>
      </c>
      <c r="K12" s="30" t="s">
        <v>116</v>
      </c>
      <c r="L12" s="45" t="s">
        <v>67</v>
      </c>
      <c r="M12" s="45" t="s">
        <v>68</v>
      </c>
      <c r="N12" s="45" t="s">
        <v>69</v>
      </c>
      <c r="O12" s="30" t="s">
        <v>70</v>
      </c>
      <c r="P12" s="30" t="s">
        <v>71</v>
      </c>
      <c r="Q12" s="45" t="s">
        <v>72</v>
      </c>
      <c r="R12" s="45" t="s">
        <v>117</v>
      </c>
      <c r="S12" s="30" t="s">
        <v>83</v>
      </c>
      <c r="T12" s="30" t="s">
        <v>118</v>
      </c>
      <c r="U12" s="47">
        <v>45957</v>
      </c>
      <c r="V12" s="30"/>
      <c r="W12" s="30"/>
      <c r="X12" s="31">
        <v>30</v>
      </c>
      <c r="Y12" s="30"/>
      <c r="Z12" s="30"/>
      <c r="AA12" s="30"/>
      <c r="AB12" s="30"/>
      <c r="AC12" s="31">
        <v>22</v>
      </c>
      <c r="AD12" s="32">
        <v>3450</v>
      </c>
      <c r="AE12" s="32">
        <v>113</v>
      </c>
      <c r="AF12" s="31">
        <v>3450</v>
      </c>
      <c r="AG12" s="31">
        <v>113</v>
      </c>
      <c r="AH12" s="30"/>
      <c r="AI12" s="30"/>
      <c r="AJ12" s="31">
        <v>653.24</v>
      </c>
      <c r="AK12" s="30"/>
      <c r="AL12" s="33">
        <v>4216.24</v>
      </c>
      <c r="AM12" s="31">
        <v>1425.2</v>
      </c>
      <c r="AN12" s="30"/>
      <c r="AO12" s="31">
        <v>110.6</v>
      </c>
      <c r="AP12" s="30"/>
      <c r="AQ12" s="31">
        <v>421.62</v>
      </c>
      <c r="AR12" s="30"/>
      <c r="AS12" s="31">
        <v>57.76</v>
      </c>
      <c r="AT12" s="31">
        <v>84.32</v>
      </c>
      <c r="AU12" s="31">
        <v>21.08</v>
      </c>
      <c r="AV12" s="33">
        <v>2120.58</v>
      </c>
      <c r="AW12" s="31">
        <v>379.46</v>
      </c>
      <c r="AX12" s="30"/>
      <c r="AY12" s="31">
        <v>29.51</v>
      </c>
      <c r="AZ12" s="31">
        <v>21.08</v>
      </c>
      <c r="BA12" s="31">
        <v>31.62</v>
      </c>
      <c r="BB12" s="31">
        <v>7.17</v>
      </c>
      <c r="BC12" s="31">
        <v>84.32</v>
      </c>
      <c r="BD12" s="33">
        <v>553.16</v>
      </c>
      <c r="BE12" s="33">
        <v>2095.66</v>
      </c>
    </row>
    <row r="13" spans="1:57" x14ac:dyDescent="0.2">
      <c r="A13" s="30">
        <v>7</v>
      </c>
      <c r="B13" s="45" t="s">
        <v>119</v>
      </c>
      <c r="C13" s="45" t="s">
        <v>120</v>
      </c>
      <c r="D13" s="30" t="s">
        <v>121</v>
      </c>
      <c r="E13" s="30" t="s">
        <v>122</v>
      </c>
      <c r="F13" s="30" t="s">
        <v>123</v>
      </c>
      <c r="G13" s="45" t="s">
        <v>64</v>
      </c>
      <c r="H13" s="45" t="s">
        <v>119</v>
      </c>
      <c r="I13" s="45" t="s">
        <v>65</v>
      </c>
      <c r="J13" s="47">
        <v>26238</v>
      </c>
      <c r="K13" s="30" t="s">
        <v>124</v>
      </c>
      <c r="L13" s="45" t="s">
        <v>67</v>
      </c>
      <c r="M13" s="45" t="s">
        <v>68</v>
      </c>
      <c r="N13" s="45" t="s">
        <v>69</v>
      </c>
      <c r="O13" s="30" t="s">
        <v>70</v>
      </c>
      <c r="P13" s="30" t="s">
        <v>125</v>
      </c>
      <c r="Q13" s="45" t="s">
        <v>81</v>
      </c>
      <c r="R13" s="45" t="s">
        <v>126</v>
      </c>
      <c r="S13" s="30" t="s">
        <v>127</v>
      </c>
      <c r="T13" s="30" t="s">
        <v>128</v>
      </c>
      <c r="U13" s="47">
        <v>45969</v>
      </c>
      <c r="V13" s="30"/>
      <c r="W13" s="30"/>
      <c r="X13" s="31">
        <v>30</v>
      </c>
      <c r="Y13" s="30"/>
      <c r="Z13" s="30"/>
      <c r="AA13" s="30"/>
      <c r="AB13" s="30"/>
      <c r="AC13" s="30"/>
      <c r="AD13" s="32">
        <v>20000</v>
      </c>
      <c r="AE13" s="32">
        <v>113</v>
      </c>
      <c r="AF13" s="31">
        <v>20000</v>
      </c>
      <c r="AG13" s="31">
        <v>113</v>
      </c>
      <c r="AH13" s="30"/>
      <c r="AI13" s="30"/>
      <c r="AJ13" s="30"/>
      <c r="AK13" s="30"/>
      <c r="AL13" s="33">
        <v>20113</v>
      </c>
      <c r="AM13" s="31">
        <v>8045.2</v>
      </c>
      <c r="AN13" s="30"/>
      <c r="AO13" s="31">
        <v>3202.87</v>
      </c>
      <c r="AP13" s="31">
        <v>114</v>
      </c>
      <c r="AQ13" s="31">
        <v>2011.3</v>
      </c>
      <c r="AR13" s="31">
        <v>295.66000000000003</v>
      </c>
      <c r="AS13" s="31">
        <v>167.26</v>
      </c>
      <c r="AT13" s="31">
        <v>402.26</v>
      </c>
      <c r="AU13" s="31">
        <v>100.57</v>
      </c>
      <c r="AV13" s="33">
        <v>14339.12</v>
      </c>
      <c r="AW13" s="31">
        <v>1357.63</v>
      </c>
      <c r="AX13" s="31">
        <v>452.54</v>
      </c>
      <c r="AY13" s="31">
        <v>85.46</v>
      </c>
      <c r="AZ13" s="31">
        <v>100.57</v>
      </c>
      <c r="BA13" s="31">
        <v>150.85</v>
      </c>
      <c r="BB13" s="31">
        <v>34.19</v>
      </c>
      <c r="BC13" s="31">
        <v>402.26</v>
      </c>
      <c r="BD13" s="33">
        <v>2583.5</v>
      </c>
      <c r="BE13" s="33">
        <v>5773.88</v>
      </c>
    </row>
    <row r="14" spans="1:57" x14ac:dyDescent="0.2">
      <c r="A14" s="30">
        <v>8</v>
      </c>
      <c r="B14" s="45" t="s">
        <v>129</v>
      </c>
      <c r="C14" s="45" t="s">
        <v>130</v>
      </c>
      <c r="D14" s="30" t="s">
        <v>131</v>
      </c>
      <c r="E14" s="30" t="s">
        <v>132</v>
      </c>
      <c r="F14" s="30" t="s">
        <v>133</v>
      </c>
      <c r="G14" s="45" t="s">
        <v>64</v>
      </c>
      <c r="H14" s="45" t="s">
        <v>129</v>
      </c>
      <c r="I14" s="45" t="s">
        <v>65</v>
      </c>
      <c r="J14" s="47">
        <v>34162</v>
      </c>
      <c r="K14" s="30" t="s">
        <v>116</v>
      </c>
      <c r="L14" s="45" t="s">
        <v>67</v>
      </c>
      <c r="M14" s="45" t="s">
        <v>68</v>
      </c>
      <c r="N14" s="45" t="s">
        <v>69</v>
      </c>
      <c r="O14" s="30" t="s">
        <v>70</v>
      </c>
      <c r="P14" s="30" t="s">
        <v>91</v>
      </c>
      <c r="Q14" s="45" t="s">
        <v>81</v>
      </c>
      <c r="R14" s="45" t="s">
        <v>134</v>
      </c>
      <c r="S14" s="30" t="s">
        <v>101</v>
      </c>
      <c r="T14" s="30" t="s">
        <v>135</v>
      </c>
      <c r="U14" s="47">
        <v>45957</v>
      </c>
      <c r="V14" s="30"/>
      <c r="W14" s="30"/>
      <c r="X14" s="31">
        <v>30</v>
      </c>
      <c r="Y14" s="30"/>
      <c r="Z14" s="30"/>
      <c r="AA14" s="30"/>
      <c r="AB14" s="30"/>
      <c r="AC14" s="31">
        <v>11</v>
      </c>
      <c r="AD14" s="32">
        <v>3450</v>
      </c>
      <c r="AE14" s="32">
        <v>113</v>
      </c>
      <c r="AF14" s="31">
        <v>3450</v>
      </c>
      <c r="AG14" s="31">
        <v>113</v>
      </c>
      <c r="AH14" s="30"/>
      <c r="AI14" s="30"/>
      <c r="AJ14" s="31">
        <v>326.62</v>
      </c>
      <c r="AK14" s="30"/>
      <c r="AL14" s="33">
        <v>3889.62</v>
      </c>
      <c r="AM14" s="31">
        <v>1425.2</v>
      </c>
      <c r="AN14" s="30"/>
      <c r="AO14" s="31">
        <v>91.9</v>
      </c>
      <c r="AP14" s="30"/>
      <c r="AQ14" s="31">
        <v>388.96</v>
      </c>
      <c r="AR14" s="30"/>
      <c r="AS14" s="31">
        <v>53.29</v>
      </c>
      <c r="AT14" s="31">
        <v>77.790000000000006</v>
      </c>
      <c r="AU14" s="31">
        <v>19.45</v>
      </c>
      <c r="AV14" s="33">
        <v>2056.59</v>
      </c>
      <c r="AW14" s="31">
        <v>350.07</v>
      </c>
      <c r="AX14" s="30"/>
      <c r="AY14" s="31">
        <v>27.23</v>
      </c>
      <c r="AZ14" s="31">
        <v>19.45</v>
      </c>
      <c r="BA14" s="31">
        <v>29.17</v>
      </c>
      <c r="BB14" s="31">
        <v>4.28</v>
      </c>
      <c r="BC14" s="31">
        <v>77.790000000000006</v>
      </c>
      <c r="BD14" s="33">
        <v>507.99</v>
      </c>
      <c r="BE14" s="33">
        <v>1833.03</v>
      </c>
    </row>
    <row r="15" spans="1:57" x14ac:dyDescent="0.2">
      <c r="A15" s="30">
        <v>9</v>
      </c>
      <c r="B15" s="45" t="s">
        <v>136</v>
      </c>
      <c r="C15" s="45" t="s">
        <v>137</v>
      </c>
      <c r="D15" s="30" t="s">
        <v>131</v>
      </c>
      <c r="E15" s="30" t="s">
        <v>131</v>
      </c>
      <c r="F15" s="30" t="s">
        <v>138</v>
      </c>
      <c r="G15" s="45" t="s">
        <v>64</v>
      </c>
      <c r="H15" s="45" t="s">
        <v>136</v>
      </c>
      <c r="I15" s="45" t="s">
        <v>65</v>
      </c>
      <c r="J15" s="47">
        <v>29347</v>
      </c>
      <c r="K15" s="30" t="s">
        <v>139</v>
      </c>
      <c r="L15" s="45" t="s">
        <v>67</v>
      </c>
      <c r="M15" s="45" t="s">
        <v>68</v>
      </c>
      <c r="N15" s="45" t="s">
        <v>69</v>
      </c>
      <c r="O15" s="30" t="s">
        <v>70</v>
      </c>
      <c r="P15" s="30" t="s">
        <v>91</v>
      </c>
      <c r="Q15" s="45" t="s">
        <v>81</v>
      </c>
      <c r="R15" s="45" t="s">
        <v>140</v>
      </c>
      <c r="S15" s="30" t="s">
        <v>74</v>
      </c>
      <c r="T15" s="30"/>
      <c r="U15" s="47">
        <v>45957</v>
      </c>
      <c r="V15" s="30"/>
      <c r="W15" s="30"/>
      <c r="X15" s="31">
        <v>30</v>
      </c>
      <c r="Y15" s="30"/>
      <c r="Z15" s="30"/>
      <c r="AA15" s="30"/>
      <c r="AB15" s="30"/>
      <c r="AC15" s="31">
        <v>11</v>
      </c>
      <c r="AD15" s="32">
        <v>3500</v>
      </c>
      <c r="AE15" s="32">
        <v>113</v>
      </c>
      <c r="AF15" s="31">
        <v>3500</v>
      </c>
      <c r="AG15" s="31">
        <v>113</v>
      </c>
      <c r="AH15" s="30"/>
      <c r="AI15" s="30"/>
      <c r="AJ15" s="31">
        <v>331.18</v>
      </c>
      <c r="AK15" s="30"/>
      <c r="AL15" s="33">
        <v>3944.18</v>
      </c>
      <c r="AM15" s="31">
        <v>1445.2</v>
      </c>
      <c r="AN15" s="31">
        <v>512.74</v>
      </c>
      <c r="AO15" s="31">
        <v>125.89</v>
      </c>
      <c r="AP15" s="30"/>
      <c r="AQ15" s="30"/>
      <c r="AR15" s="30"/>
      <c r="AS15" s="30"/>
      <c r="AT15" s="30"/>
      <c r="AU15" s="31">
        <v>19.72</v>
      </c>
      <c r="AV15" s="33">
        <v>2103.5500000000002</v>
      </c>
      <c r="AW15" s="31">
        <v>354.98</v>
      </c>
      <c r="AX15" s="30"/>
      <c r="AY15" s="31">
        <v>27.61</v>
      </c>
      <c r="AZ15" s="31">
        <v>19.72</v>
      </c>
      <c r="BA15" s="31">
        <v>29.58</v>
      </c>
      <c r="BB15" s="31">
        <v>6.71</v>
      </c>
      <c r="BC15" s="30"/>
      <c r="BD15" s="33">
        <v>438.6</v>
      </c>
      <c r="BE15" s="33">
        <v>1840.63</v>
      </c>
    </row>
    <row r="16" spans="1:57" x14ac:dyDescent="0.2">
      <c r="A16" s="30">
        <v>10</v>
      </c>
      <c r="B16" s="45" t="s">
        <v>141</v>
      </c>
      <c r="C16" s="45" t="s">
        <v>142</v>
      </c>
      <c r="D16" s="30" t="s">
        <v>143</v>
      </c>
      <c r="E16" s="30" t="s">
        <v>144</v>
      </c>
      <c r="F16" s="30" t="s">
        <v>145</v>
      </c>
      <c r="G16" s="45" t="s">
        <v>64</v>
      </c>
      <c r="H16" s="45" t="s">
        <v>141</v>
      </c>
      <c r="I16" s="45" t="s">
        <v>65</v>
      </c>
      <c r="J16" s="47">
        <v>29704</v>
      </c>
      <c r="K16" s="30" t="s">
        <v>146</v>
      </c>
      <c r="L16" s="45" t="s">
        <v>67</v>
      </c>
      <c r="M16" s="45" t="s">
        <v>68</v>
      </c>
      <c r="N16" s="45" t="s">
        <v>69</v>
      </c>
      <c r="O16" s="30" t="s">
        <v>70</v>
      </c>
      <c r="P16" s="30" t="s">
        <v>91</v>
      </c>
      <c r="Q16" s="45" t="s">
        <v>81</v>
      </c>
      <c r="R16" s="45" t="s">
        <v>147</v>
      </c>
      <c r="S16" s="30" t="s">
        <v>101</v>
      </c>
      <c r="T16" s="30" t="s">
        <v>148</v>
      </c>
      <c r="U16" s="47">
        <v>45988</v>
      </c>
      <c r="V16" s="30"/>
      <c r="W16" s="30"/>
      <c r="X16" s="31">
        <v>30</v>
      </c>
      <c r="Y16" s="30"/>
      <c r="Z16" s="30"/>
      <c r="AA16" s="30"/>
      <c r="AB16" s="30"/>
      <c r="AC16" s="31">
        <v>11</v>
      </c>
      <c r="AD16" s="32">
        <v>6500</v>
      </c>
      <c r="AE16" s="32">
        <v>113</v>
      </c>
      <c r="AF16" s="31">
        <v>6500</v>
      </c>
      <c r="AG16" s="31">
        <v>113</v>
      </c>
      <c r="AH16" s="30"/>
      <c r="AI16" s="30"/>
      <c r="AJ16" s="31">
        <v>606.17999999999995</v>
      </c>
      <c r="AK16" s="30"/>
      <c r="AL16" s="33">
        <v>7219.18</v>
      </c>
      <c r="AM16" s="31">
        <v>2645.2</v>
      </c>
      <c r="AN16" s="30"/>
      <c r="AO16" s="31">
        <v>634.79999999999995</v>
      </c>
      <c r="AP16" s="30"/>
      <c r="AQ16" s="31">
        <v>721.92</v>
      </c>
      <c r="AR16" s="30"/>
      <c r="AS16" s="31">
        <v>98.9</v>
      </c>
      <c r="AT16" s="31">
        <v>144.38</v>
      </c>
      <c r="AU16" s="31">
        <v>36.1</v>
      </c>
      <c r="AV16" s="33">
        <v>4281.3</v>
      </c>
      <c r="AW16" s="31">
        <v>487.29</v>
      </c>
      <c r="AX16" s="31">
        <v>162.43</v>
      </c>
      <c r="AY16" s="31">
        <v>50.53</v>
      </c>
      <c r="AZ16" s="31">
        <v>36.1</v>
      </c>
      <c r="BA16" s="31">
        <v>54.14</v>
      </c>
      <c r="BB16" s="31">
        <v>12.27</v>
      </c>
      <c r="BC16" s="31">
        <v>144.38</v>
      </c>
      <c r="BD16" s="33">
        <v>947.14</v>
      </c>
      <c r="BE16" s="33">
        <v>2937.88</v>
      </c>
    </row>
    <row r="17" spans="1:57" x14ac:dyDescent="0.2">
      <c r="A17" s="30">
        <v>11</v>
      </c>
      <c r="B17" s="45" t="s">
        <v>149</v>
      </c>
      <c r="C17" s="45" t="s">
        <v>150</v>
      </c>
      <c r="D17" s="30" t="s">
        <v>151</v>
      </c>
      <c r="E17" s="30" t="s">
        <v>152</v>
      </c>
      <c r="F17" s="30" t="s">
        <v>153</v>
      </c>
      <c r="G17" s="45" t="s">
        <v>64</v>
      </c>
      <c r="H17" s="45" t="s">
        <v>149</v>
      </c>
      <c r="I17" s="45" t="s">
        <v>65</v>
      </c>
      <c r="J17" s="47">
        <v>32518</v>
      </c>
      <c r="K17" s="30" t="s">
        <v>154</v>
      </c>
      <c r="L17" s="45" t="s">
        <v>67</v>
      </c>
      <c r="M17" s="45" t="s">
        <v>68</v>
      </c>
      <c r="N17" s="45" t="s">
        <v>69</v>
      </c>
      <c r="O17" s="30" t="s">
        <v>70</v>
      </c>
      <c r="P17" s="30" t="s">
        <v>71</v>
      </c>
      <c r="Q17" s="45" t="s">
        <v>72</v>
      </c>
      <c r="R17" s="45" t="s">
        <v>155</v>
      </c>
      <c r="S17" s="30" t="s">
        <v>74</v>
      </c>
      <c r="T17" s="30"/>
      <c r="U17" s="47">
        <v>45974</v>
      </c>
      <c r="V17" s="30"/>
      <c r="W17" s="30"/>
      <c r="X17" s="31">
        <v>30</v>
      </c>
      <c r="Y17" s="30"/>
      <c r="Z17" s="30"/>
      <c r="AA17" s="30"/>
      <c r="AB17" s="30"/>
      <c r="AC17" s="31">
        <v>11</v>
      </c>
      <c r="AD17" s="32">
        <v>3500</v>
      </c>
      <c r="AE17" s="32">
        <v>113</v>
      </c>
      <c r="AF17" s="31">
        <v>3500</v>
      </c>
      <c r="AG17" s="31">
        <v>113</v>
      </c>
      <c r="AH17" s="30"/>
      <c r="AI17" s="30"/>
      <c r="AJ17" s="31">
        <v>331.18</v>
      </c>
      <c r="AK17" s="30"/>
      <c r="AL17" s="33">
        <v>3944.18</v>
      </c>
      <c r="AM17" s="31">
        <v>1445.2</v>
      </c>
      <c r="AN17" s="31">
        <v>512.74</v>
      </c>
      <c r="AO17" s="31">
        <v>119.72</v>
      </c>
      <c r="AP17" s="30"/>
      <c r="AQ17" s="30"/>
      <c r="AR17" s="30"/>
      <c r="AS17" s="30"/>
      <c r="AT17" s="30"/>
      <c r="AU17" s="31">
        <v>19.72</v>
      </c>
      <c r="AV17" s="33">
        <v>2097.38</v>
      </c>
      <c r="AW17" s="31">
        <v>354.98</v>
      </c>
      <c r="AX17" s="30"/>
      <c r="AY17" s="31">
        <v>27.61</v>
      </c>
      <c r="AZ17" s="31">
        <v>19.72</v>
      </c>
      <c r="BA17" s="31">
        <v>29.58</v>
      </c>
      <c r="BB17" s="31">
        <v>6.71</v>
      </c>
      <c r="BC17" s="30"/>
      <c r="BD17" s="33">
        <v>438.6</v>
      </c>
      <c r="BE17" s="33">
        <v>1846.8</v>
      </c>
    </row>
    <row r="18" spans="1:57" x14ac:dyDescent="0.2">
      <c r="A18" s="30">
        <v>12</v>
      </c>
      <c r="B18" s="45" t="s">
        <v>156</v>
      </c>
      <c r="C18" s="45" t="s">
        <v>157</v>
      </c>
      <c r="D18" s="30" t="s">
        <v>158</v>
      </c>
      <c r="E18" s="30" t="s">
        <v>159</v>
      </c>
      <c r="F18" s="30" t="s">
        <v>160</v>
      </c>
      <c r="G18" s="45" t="s">
        <v>64</v>
      </c>
      <c r="H18" s="45" t="s">
        <v>156</v>
      </c>
      <c r="I18" s="45" t="s">
        <v>161</v>
      </c>
      <c r="J18" s="47">
        <v>34371</v>
      </c>
      <c r="K18" s="30" t="s">
        <v>154</v>
      </c>
      <c r="L18" s="45" t="s">
        <v>67</v>
      </c>
      <c r="M18" s="45" t="s">
        <v>68</v>
      </c>
      <c r="N18" s="45" t="s">
        <v>69</v>
      </c>
      <c r="O18" s="30" t="s">
        <v>70</v>
      </c>
      <c r="P18" s="30" t="s">
        <v>91</v>
      </c>
      <c r="Q18" s="45" t="s">
        <v>81</v>
      </c>
      <c r="R18" s="45" t="s">
        <v>162</v>
      </c>
      <c r="S18" s="30" t="s">
        <v>101</v>
      </c>
      <c r="T18" s="30" t="s">
        <v>163</v>
      </c>
      <c r="U18" s="47">
        <v>45957</v>
      </c>
      <c r="V18" s="30"/>
      <c r="W18" s="30"/>
      <c r="X18" s="31">
        <v>30</v>
      </c>
      <c r="Y18" s="30"/>
      <c r="Z18" s="30"/>
      <c r="AA18" s="31">
        <v>8</v>
      </c>
      <c r="AB18" s="31">
        <v>1</v>
      </c>
      <c r="AC18" s="31">
        <v>11</v>
      </c>
      <c r="AD18" s="32">
        <v>3500</v>
      </c>
      <c r="AE18" s="34"/>
      <c r="AF18" s="31">
        <v>3500</v>
      </c>
      <c r="AG18" s="30"/>
      <c r="AH18" s="31">
        <v>145.84</v>
      </c>
      <c r="AI18" s="31">
        <v>19.690000000000001</v>
      </c>
      <c r="AJ18" s="31">
        <v>320.83999999999997</v>
      </c>
      <c r="AK18" s="30"/>
      <c r="AL18" s="33">
        <v>3986.37</v>
      </c>
      <c r="AM18" s="31">
        <v>1400</v>
      </c>
      <c r="AN18" s="30"/>
      <c r="AO18" s="31">
        <v>101.09</v>
      </c>
      <c r="AP18" s="30"/>
      <c r="AQ18" s="31">
        <v>398.64</v>
      </c>
      <c r="AR18" s="30"/>
      <c r="AS18" s="31">
        <v>54.61</v>
      </c>
      <c r="AT18" s="31">
        <v>79.73</v>
      </c>
      <c r="AU18" s="31">
        <v>19.93</v>
      </c>
      <c r="AV18" s="33">
        <v>2054</v>
      </c>
      <c r="AW18" s="31">
        <v>358.77</v>
      </c>
      <c r="AX18" s="30"/>
      <c r="AY18" s="31">
        <v>27.9</v>
      </c>
      <c r="AZ18" s="31">
        <v>19.93</v>
      </c>
      <c r="BA18" s="31">
        <v>29.9</v>
      </c>
      <c r="BB18" s="31">
        <v>4.3899999999999997</v>
      </c>
      <c r="BC18" s="31">
        <v>79.73</v>
      </c>
      <c r="BD18" s="33">
        <v>520.62</v>
      </c>
      <c r="BE18" s="33">
        <v>1932.37</v>
      </c>
    </row>
    <row r="19" spans="1:57" x14ac:dyDescent="0.2">
      <c r="A19" s="30">
        <v>13</v>
      </c>
      <c r="B19" s="45" t="s">
        <v>164</v>
      </c>
      <c r="C19" s="45" t="s">
        <v>165</v>
      </c>
      <c r="D19" s="30" t="s">
        <v>166</v>
      </c>
      <c r="E19" s="30" t="s">
        <v>167</v>
      </c>
      <c r="F19" s="30" t="s">
        <v>168</v>
      </c>
      <c r="G19" s="45" t="s">
        <v>64</v>
      </c>
      <c r="H19" s="45" t="s">
        <v>164</v>
      </c>
      <c r="I19" s="45" t="s">
        <v>65</v>
      </c>
      <c r="J19" s="47">
        <v>30782</v>
      </c>
      <c r="K19" s="30" t="s">
        <v>66</v>
      </c>
      <c r="L19" s="45" t="s">
        <v>67</v>
      </c>
      <c r="M19" s="45" t="s">
        <v>68</v>
      </c>
      <c r="N19" s="45" t="s">
        <v>69</v>
      </c>
      <c r="O19" s="30" t="s">
        <v>70</v>
      </c>
      <c r="P19" s="30" t="s">
        <v>71</v>
      </c>
      <c r="Q19" s="45" t="s">
        <v>72</v>
      </c>
      <c r="R19" s="45" t="s">
        <v>169</v>
      </c>
      <c r="S19" s="30" t="s">
        <v>74</v>
      </c>
      <c r="T19" s="30"/>
      <c r="U19" s="47">
        <v>45950</v>
      </c>
      <c r="V19" s="30"/>
      <c r="W19" s="30"/>
      <c r="X19" s="31">
        <v>30</v>
      </c>
      <c r="Y19" s="30"/>
      <c r="Z19" s="30"/>
      <c r="AA19" s="30"/>
      <c r="AB19" s="30"/>
      <c r="AC19" s="31">
        <v>11</v>
      </c>
      <c r="AD19" s="32">
        <v>6750</v>
      </c>
      <c r="AE19" s="32">
        <v>113</v>
      </c>
      <c r="AF19" s="31">
        <v>6750</v>
      </c>
      <c r="AG19" s="31">
        <v>113</v>
      </c>
      <c r="AH19" s="30"/>
      <c r="AI19" s="30"/>
      <c r="AJ19" s="31">
        <v>629.12</v>
      </c>
      <c r="AK19" s="30"/>
      <c r="AL19" s="33">
        <v>7492.12</v>
      </c>
      <c r="AM19" s="31">
        <v>2745.2</v>
      </c>
      <c r="AN19" s="31">
        <v>973.98</v>
      </c>
      <c r="AO19" s="31">
        <v>584.58000000000004</v>
      </c>
      <c r="AP19" s="30"/>
      <c r="AQ19" s="30"/>
      <c r="AR19" s="30"/>
      <c r="AS19" s="30"/>
      <c r="AT19" s="30"/>
      <c r="AU19" s="31">
        <v>37.46</v>
      </c>
      <c r="AV19" s="33">
        <v>4341.22</v>
      </c>
      <c r="AW19" s="31">
        <v>505.72</v>
      </c>
      <c r="AX19" s="31">
        <v>168.57</v>
      </c>
      <c r="AY19" s="31">
        <v>52.44</v>
      </c>
      <c r="AZ19" s="31">
        <v>37.46</v>
      </c>
      <c r="BA19" s="31">
        <v>56.19</v>
      </c>
      <c r="BB19" s="31">
        <v>12.74</v>
      </c>
      <c r="BC19" s="30"/>
      <c r="BD19" s="33">
        <v>833.12</v>
      </c>
      <c r="BE19" s="33">
        <v>3150.9</v>
      </c>
    </row>
    <row r="20" spans="1:57" x14ac:dyDescent="0.2">
      <c r="A20" s="30">
        <v>14</v>
      </c>
      <c r="B20" s="45" t="s">
        <v>170</v>
      </c>
      <c r="C20" s="45" t="s">
        <v>171</v>
      </c>
      <c r="D20" s="30" t="s">
        <v>172</v>
      </c>
      <c r="E20" s="30" t="s">
        <v>173</v>
      </c>
      <c r="F20" s="30" t="s">
        <v>174</v>
      </c>
      <c r="G20" s="45" t="s">
        <v>64</v>
      </c>
      <c r="H20" s="45" t="s">
        <v>170</v>
      </c>
      <c r="I20" s="45" t="s">
        <v>65</v>
      </c>
      <c r="J20" s="47">
        <v>35585</v>
      </c>
      <c r="K20" s="30" t="s">
        <v>175</v>
      </c>
      <c r="L20" s="45" t="s">
        <v>67</v>
      </c>
      <c r="M20" s="45" t="s">
        <v>68</v>
      </c>
      <c r="N20" s="45" t="s">
        <v>176</v>
      </c>
      <c r="O20" s="30" t="s">
        <v>177</v>
      </c>
      <c r="P20" s="30" t="s">
        <v>125</v>
      </c>
      <c r="Q20" s="45" t="s">
        <v>81</v>
      </c>
      <c r="R20" s="45" t="s">
        <v>178</v>
      </c>
      <c r="S20" s="30" t="s">
        <v>101</v>
      </c>
      <c r="T20" s="30" t="s">
        <v>179</v>
      </c>
      <c r="U20" s="47">
        <v>45957</v>
      </c>
      <c r="V20" s="30"/>
      <c r="W20" s="30"/>
      <c r="X20" s="31">
        <v>30</v>
      </c>
      <c r="Y20" s="30"/>
      <c r="Z20" s="30"/>
      <c r="AA20" s="30"/>
      <c r="AB20" s="30"/>
      <c r="AC20" s="30"/>
      <c r="AD20" s="32">
        <v>6000</v>
      </c>
      <c r="AE20" s="34"/>
      <c r="AF20" s="31">
        <v>6000</v>
      </c>
      <c r="AG20" s="30"/>
      <c r="AH20" s="30"/>
      <c r="AI20" s="30"/>
      <c r="AJ20" s="30"/>
      <c r="AK20" s="30"/>
      <c r="AL20" s="33">
        <v>6000</v>
      </c>
      <c r="AM20" s="31">
        <v>2400</v>
      </c>
      <c r="AN20" s="30"/>
      <c r="AO20" s="31">
        <v>402.78</v>
      </c>
      <c r="AP20" s="30"/>
      <c r="AQ20" s="31">
        <v>600</v>
      </c>
      <c r="AR20" s="30"/>
      <c r="AS20" s="31">
        <v>82.2</v>
      </c>
      <c r="AT20" s="31">
        <v>120</v>
      </c>
      <c r="AU20" s="31">
        <v>30</v>
      </c>
      <c r="AV20" s="33">
        <v>3634.98</v>
      </c>
      <c r="AW20" s="31">
        <v>405</v>
      </c>
      <c r="AX20" s="31">
        <v>135</v>
      </c>
      <c r="AY20" s="31">
        <v>42</v>
      </c>
      <c r="AZ20" s="31">
        <v>30</v>
      </c>
      <c r="BA20" s="31">
        <v>45</v>
      </c>
      <c r="BB20" s="31">
        <v>6.6</v>
      </c>
      <c r="BC20" s="31">
        <v>120</v>
      </c>
      <c r="BD20" s="33">
        <v>783.6</v>
      </c>
      <c r="BE20" s="33">
        <v>2365.02</v>
      </c>
    </row>
    <row r="21" spans="1:57" x14ac:dyDescent="0.2">
      <c r="A21" s="30">
        <v>15</v>
      </c>
      <c r="B21" s="45" t="s">
        <v>180</v>
      </c>
      <c r="C21" s="45" t="s">
        <v>181</v>
      </c>
      <c r="D21" s="30" t="s">
        <v>182</v>
      </c>
      <c r="E21" s="30" t="s">
        <v>183</v>
      </c>
      <c r="F21" s="30" t="s">
        <v>184</v>
      </c>
      <c r="G21" s="45" t="s">
        <v>64</v>
      </c>
      <c r="H21" s="45" t="s">
        <v>180</v>
      </c>
      <c r="I21" s="45" t="s">
        <v>65</v>
      </c>
      <c r="J21" s="47">
        <v>32883</v>
      </c>
      <c r="K21" s="30" t="s">
        <v>154</v>
      </c>
      <c r="L21" s="45" t="s">
        <v>67</v>
      </c>
      <c r="M21" s="45" t="s">
        <v>68</v>
      </c>
      <c r="N21" s="45" t="s">
        <v>69</v>
      </c>
      <c r="O21" s="30" t="s">
        <v>70</v>
      </c>
      <c r="P21" s="30" t="s">
        <v>91</v>
      </c>
      <c r="Q21" s="45" t="s">
        <v>81</v>
      </c>
      <c r="R21" s="45" t="s">
        <v>185</v>
      </c>
      <c r="S21" s="30" t="s">
        <v>186</v>
      </c>
      <c r="T21" s="30" t="s">
        <v>187</v>
      </c>
      <c r="U21" s="47">
        <v>45957</v>
      </c>
      <c r="V21" s="30"/>
      <c r="W21" s="30"/>
      <c r="X21" s="31">
        <v>30</v>
      </c>
      <c r="Y21" s="30"/>
      <c r="Z21" s="30"/>
      <c r="AA21" s="30"/>
      <c r="AB21" s="30"/>
      <c r="AC21" s="31">
        <v>22</v>
      </c>
      <c r="AD21" s="32">
        <v>3500</v>
      </c>
      <c r="AE21" s="32">
        <v>113</v>
      </c>
      <c r="AF21" s="31">
        <v>3500</v>
      </c>
      <c r="AG21" s="31">
        <v>113</v>
      </c>
      <c r="AH21" s="30"/>
      <c r="AI21" s="30"/>
      <c r="AJ21" s="31">
        <v>662.37</v>
      </c>
      <c r="AK21" s="30"/>
      <c r="AL21" s="33">
        <v>4275.37</v>
      </c>
      <c r="AM21" s="31">
        <v>1445.2</v>
      </c>
      <c r="AN21" s="30"/>
      <c r="AO21" s="31">
        <v>137.80000000000001</v>
      </c>
      <c r="AP21" s="30"/>
      <c r="AQ21" s="31">
        <v>427.54</v>
      </c>
      <c r="AR21" s="31">
        <v>72.25</v>
      </c>
      <c r="AS21" s="31">
        <v>58.57</v>
      </c>
      <c r="AT21" s="31">
        <v>85.51</v>
      </c>
      <c r="AU21" s="31">
        <v>21.38</v>
      </c>
      <c r="AV21" s="33">
        <v>2248.25</v>
      </c>
      <c r="AW21" s="31">
        <v>384.78</v>
      </c>
      <c r="AX21" s="30"/>
      <c r="AY21" s="31">
        <v>29.93</v>
      </c>
      <c r="AZ21" s="31">
        <v>21.38</v>
      </c>
      <c r="BA21" s="31">
        <v>32.07</v>
      </c>
      <c r="BB21" s="31">
        <v>4.7</v>
      </c>
      <c r="BC21" s="31">
        <v>85.51</v>
      </c>
      <c r="BD21" s="33">
        <v>558.37</v>
      </c>
      <c r="BE21" s="33">
        <v>2027.12</v>
      </c>
    </row>
    <row r="22" spans="1:57" x14ac:dyDescent="0.2">
      <c r="A22" s="30">
        <v>16</v>
      </c>
      <c r="B22" s="45" t="s">
        <v>188</v>
      </c>
      <c r="C22" s="45" t="s">
        <v>189</v>
      </c>
      <c r="D22" s="30" t="s">
        <v>190</v>
      </c>
      <c r="E22" s="30" t="s">
        <v>191</v>
      </c>
      <c r="F22" s="30" t="s">
        <v>192</v>
      </c>
      <c r="G22" s="45" t="s">
        <v>64</v>
      </c>
      <c r="H22" s="45" t="s">
        <v>188</v>
      </c>
      <c r="I22" s="45" t="s">
        <v>65</v>
      </c>
      <c r="J22" s="47">
        <v>33634</v>
      </c>
      <c r="K22" s="30" t="s">
        <v>99</v>
      </c>
      <c r="L22" s="45" t="s">
        <v>67</v>
      </c>
      <c r="M22" s="45" t="s">
        <v>68</v>
      </c>
      <c r="N22" s="45" t="s">
        <v>69</v>
      </c>
      <c r="O22" s="30" t="s">
        <v>70</v>
      </c>
      <c r="P22" s="30" t="s">
        <v>80</v>
      </c>
      <c r="Q22" s="45" t="s">
        <v>81</v>
      </c>
      <c r="R22" s="45" t="s">
        <v>193</v>
      </c>
      <c r="S22" s="30" t="s">
        <v>127</v>
      </c>
      <c r="T22" s="30" t="s">
        <v>194</v>
      </c>
      <c r="U22" s="47">
        <v>46007</v>
      </c>
      <c r="V22" s="30"/>
      <c r="W22" s="30"/>
      <c r="X22" s="31">
        <v>30</v>
      </c>
      <c r="Y22" s="30"/>
      <c r="Z22" s="30"/>
      <c r="AA22" s="30"/>
      <c r="AB22" s="30"/>
      <c r="AC22" s="31">
        <v>11</v>
      </c>
      <c r="AD22" s="32">
        <v>6500</v>
      </c>
      <c r="AE22" s="32">
        <v>113</v>
      </c>
      <c r="AF22" s="31">
        <v>6500</v>
      </c>
      <c r="AG22" s="31">
        <v>113</v>
      </c>
      <c r="AH22" s="30"/>
      <c r="AI22" s="30"/>
      <c r="AJ22" s="31">
        <v>606.17999999999995</v>
      </c>
      <c r="AK22" s="30"/>
      <c r="AL22" s="33">
        <v>7219.18</v>
      </c>
      <c r="AM22" s="31">
        <v>2645.2</v>
      </c>
      <c r="AN22" s="30"/>
      <c r="AO22" s="31">
        <v>541.91</v>
      </c>
      <c r="AP22" s="30"/>
      <c r="AQ22" s="31">
        <v>721.92</v>
      </c>
      <c r="AR22" s="30"/>
      <c r="AS22" s="31">
        <v>98.9</v>
      </c>
      <c r="AT22" s="31">
        <v>144.38</v>
      </c>
      <c r="AU22" s="31">
        <v>36.1</v>
      </c>
      <c r="AV22" s="33">
        <v>4188.41</v>
      </c>
      <c r="AW22" s="31">
        <v>487.29</v>
      </c>
      <c r="AX22" s="31">
        <v>162.43</v>
      </c>
      <c r="AY22" s="31">
        <v>50.53</v>
      </c>
      <c r="AZ22" s="31">
        <v>36.1</v>
      </c>
      <c r="BA22" s="31">
        <v>54.14</v>
      </c>
      <c r="BB22" s="31">
        <v>7.94</v>
      </c>
      <c r="BC22" s="31">
        <v>144.38</v>
      </c>
      <c r="BD22" s="33">
        <v>942.81</v>
      </c>
      <c r="BE22" s="33">
        <v>3030.77</v>
      </c>
    </row>
    <row r="23" spans="1:57" x14ac:dyDescent="0.2">
      <c r="A23" s="30">
        <v>17</v>
      </c>
      <c r="B23" s="45" t="s">
        <v>195</v>
      </c>
      <c r="C23" s="45" t="s">
        <v>196</v>
      </c>
      <c r="D23" s="30" t="s">
        <v>197</v>
      </c>
      <c r="E23" s="30" t="s">
        <v>198</v>
      </c>
      <c r="F23" s="30" t="s">
        <v>199</v>
      </c>
      <c r="G23" s="45" t="s">
        <v>64</v>
      </c>
      <c r="H23" s="45" t="s">
        <v>195</v>
      </c>
      <c r="I23" s="45" t="s">
        <v>65</v>
      </c>
      <c r="J23" s="47">
        <v>33134</v>
      </c>
      <c r="K23" s="30" t="s">
        <v>90</v>
      </c>
      <c r="L23" s="45" t="s">
        <v>67</v>
      </c>
      <c r="M23" s="45" t="s">
        <v>68</v>
      </c>
      <c r="N23" s="45" t="s">
        <v>69</v>
      </c>
      <c r="O23" s="30" t="s">
        <v>70</v>
      </c>
      <c r="P23" s="30" t="s">
        <v>125</v>
      </c>
      <c r="Q23" s="45" t="s">
        <v>81</v>
      </c>
      <c r="R23" s="45" t="s">
        <v>200</v>
      </c>
      <c r="S23" s="30" t="s">
        <v>101</v>
      </c>
      <c r="T23" s="30" t="s">
        <v>201</v>
      </c>
      <c r="U23" s="47">
        <v>45988</v>
      </c>
      <c r="V23" s="30"/>
      <c r="W23" s="30"/>
      <c r="X23" s="31">
        <v>30</v>
      </c>
      <c r="Y23" s="30"/>
      <c r="Z23" s="30"/>
      <c r="AA23" s="31">
        <v>2</v>
      </c>
      <c r="AB23" s="31">
        <v>2</v>
      </c>
      <c r="AC23" s="31">
        <v>11</v>
      </c>
      <c r="AD23" s="32">
        <v>3400</v>
      </c>
      <c r="AE23" s="32">
        <v>113</v>
      </c>
      <c r="AF23" s="31">
        <v>3400</v>
      </c>
      <c r="AG23" s="31">
        <v>113</v>
      </c>
      <c r="AH23" s="31">
        <v>36.590000000000003</v>
      </c>
      <c r="AI23" s="31">
        <v>39.520000000000003</v>
      </c>
      <c r="AJ23" s="31">
        <v>322.02999999999997</v>
      </c>
      <c r="AK23" s="30"/>
      <c r="AL23" s="33">
        <v>3911.14</v>
      </c>
      <c r="AM23" s="31">
        <v>1405.2</v>
      </c>
      <c r="AN23" s="30"/>
      <c r="AO23" s="31">
        <v>99.18</v>
      </c>
      <c r="AP23" s="30"/>
      <c r="AQ23" s="31">
        <v>391.11</v>
      </c>
      <c r="AR23" s="30"/>
      <c r="AS23" s="31">
        <v>53.58</v>
      </c>
      <c r="AT23" s="31">
        <v>78.22</v>
      </c>
      <c r="AU23" s="31">
        <v>19.559999999999999</v>
      </c>
      <c r="AV23" s="33">
        <v>2046.85</v>
      </c>
      <c r="AW23" s="31">
        <v>352</v>
      </c>
      <c r="AX23" s="30"/>
      <c r="AY23" s="31">
        <v>27.38</v>
      </c>
      <c r="AZ23" s="31">
        <v>19.559999999999999</v>
      </c>
      <c r="BA23" s="31">
        <v>29.33</v>
      </c>
      <c r="BB23" s="31">
        <v>4.3</v>
      </c>
      <c r="BC23" s="31">
        <v>78.22</v>
      </c>
      <c r="BD23" s="33">
        <v>510.79</v>
      </c>
      <c r="BE23" s="33">
        <v>1864.29</v>
      </c>
    </row>
    <row r="24" spans="1:57" x14ac:dyDescent="0.2">
      <c r="A24" s="30">
        <v>18</v>
      </c>
      <c r="B24" s="45" t="s">
        <v>202</v>
      </c>
      <c r="C24" s="45" t="s">
        <v>203</v>
      </c>
      <c r="D24" s="30" t="s">
        <v>204</v>
      </c>
      <c r="E24" s="30" t="s">
        <v>205</v>
      </c>
      <c r="F24" s="30" t="s">
        <v>206</v>
      </c>
      <c r="G24" s="45" t="s">
        <v>64</v>
      </c>
      <c r="H24" s="45" t="s">
        <v>202</v>
      </c>
      <c r="I24" s="45" t="s">
        <v>65</v>
      </c>
      <c r="J24" s="47">
        <v>32866</v>
      </c>
      <c r="K24" s="30" t="s">
        <v>146</v>
      </c>
      <c r="L24" s="45" t="s">
        <v>67</v>
      </c>
      <c r="M24" s="45" t="s">
        <v>68</v>
      </c>
      <c r="N24" s="45" t="s">
        <v>69</v>
      </c>
      <c r="O24" s="30" t="s">
        <v>70</v>
      </c>
      <c r="P24" s="30" t="s">
        <v>80</v>
      </c>
      <c r="Q24" s="45" t="s">
        <v>81</v>
      </c>
      <c r="R24" s="45" t="s">
        <v>207</v>
      </c>
      <c r="S24" s="30" t="s">
        <v>74</v>
      </c>
      <c r="T24" s="30"/>
      <c r="U24" s="47">
        <v>45952</v>
      </c>
      <c r="V24" s="30"/>
      <c r="W24" s="30"/>
      <c r="X24" s="31">
        <v>30</v>
      </c>
      <c r="Y24" s="30"/>
      <c r="Z24" s="30"/>
      <c r="AA24" s="30"/>
      <c r="AB24" s="30"/>
      <c r="AC24" s="31">
        <v>11</v>
      </c>
      <c r="AD24" s="32">
        <v>6500</v>
      </c>
      <c r="AE24" s="32">
        <v>113</v>
      </c>
      <c r="AF24" s="31">
        <v>6500</v>
      </c>
      <c r="AG24" s="31">
        <v>113</v>
      </c>
      <c r="AH24" s="30"/>
      <c r="AI24" s="30"/>
      <c r="AJ24" s="31">
        <v>606.17999999999995</v>
      </c>
      <c r="AK24" s="30"/>
      <c r="AL24" s="33">
        <v>7219.18</v>
      </c>
      <c r="AM24" s="31">
        <v>2645.2</v>
      </c>
      <c r="AN24" s="31">
        <v>938.49</v>
      </c>
      <c r="AO24" s="31">
        <v>615.1</v>
      </c>
      <c r="AP24" s="30"/>
      <c r="AQ24" s="30"/>
      <c r="AR24" s="30"/>
      <c r="AS24" s="30"/>
      <c r="AT24" s="30"/>
      <c r="AU24" s="31">
        <v>36.1</v>
      </c>
      <c r="AV24" s="33">
        <v>4234.8900000000003</v>
      </c>
      <c r="AW24" s="31">
        <v>487.29</v>
      </c>
      <c r="AX24" s="31">
        <v>162.43</v>
      </c>
      <c r="AY24" s="31">
        <v>50.53</v>
      </c>
      <c r="AZ24" s="31">
        <v>36.1</v>
      </c>
      <c r="BA24" s="31">
        <v>54.14</v>
      </c>
      <c r="BB24" s="31">
        <v>7.94</v>
      </c>
      <c r="BC24" s="30"/>
      <c r="BD24" s="33">
        <v>798.43</v>
      </c>
      <c r="BE24" s="33">
        <v>2984.29</v>
      </c>
    </row>
    <row r="25" spans="1:57" x14ac:dyDescent="0.2">
      <c r="A25" s="30">
        <v>19</v>
      </c>
      <c r="B25" s="45" t="s">
        <v>208</v>
      </c>
      <c r="C25" s="45" t="s">
        <v>209</v>
      </c>
      <c r="D25" s="30" t="s">
        <v>210</v>
      </c>
      <c r="E25" s="30" t="s">
        <v>211</v>
      </c>
      <c r="F25" s="30" t="s">
        <v>212</v>
      </c>
      <c r="G25" s="45" t="s">
        <v>64</v>
      </c>
      <c r="H25" s="45" t="s">
        <v>208</v>
      </c>
      <c r="I25" s="45" t="s">
        <v>65</v>
      </c>
      <c r="J25" s="47">
        <v>34807</v>
      </c>
      <c r="K25" s="30" t="s">
        <v>213</v>
      </c>
      <c r="L25" s="45" t="s">
        <v>67</v>
      </c>
      <c r="M25" s="45" t="s">
        <v>68</v>
      </c>
      <c r="N25" s="45" t="s">
        <v>69</v>
      </c>
      <c r="O25" s="30" t="s">
        <v>70</v>
      </c>
      <c r="P25" s="30" t="s">
        <v>71</v>
      </c>
      <c r="Q25" s="45" t="s">
        <v>72</v>
      </c>
      <c r="R25" s="45" t="s">
        <v>214</v>
      </c>
      <c r="S25" s="30" t="s">
        <v>127</v>
      </c>
      <c r="T25" s="30" t="s">
        <v>215</v>
      </c>
      <c r="U25" s="47">
        <v>45950</v>
      </c>
      <c r="V25" s="30"/>
      <c r="W25" s="30"/>
      <c r="X25" s="31">
        <v>30</v>
      </c>
      <c r="Y25" s="30"/>
      <c r="Z25" s="30"/>
      <c r="AA25" s="30"/>
      <c r="AB25" s="30"/>
      <c r="AC25" s="31">
        <v>11</v>
      </c>
      <c r="AD25" s="32">
        <v>6500</v>
      </c>
      <c r="AE25" s="32">
        <v>113</v>
      </c>
      <c r="AF25" s="31">
        <v>6500</v>
      </c>
      <c r="AG25" s="31">
        <v>113</v>
      </c>
      <c r="AH25" s="30"/>
      <c r="AI25" s="30"/>
      <c r="AJ25" s="31">
        <v>606.17999999999995</v>
      </c>
      <c r="AK25" s="30"/>
      <c r="AL25" s="33">
        <v>7219.18</v>
      </c>
      <c r="AM25" s="31">
        <v>2645.2</v>
      </c>
      <c r="AN25" s="30"/>
      <c r="AO25" s="31">
        <v>634.79999999999995</v>
      </c>
      <c r="AP25" s="30"/>
      <c r="AQ25" s="31">
        <v>721.92</v>
      </c>
      <c r="AR25" s="30"/>
      <c r="AS25" s="31">
        <v>98.9</v>
      </c>
      <c r="AT25" s="31">
        <v>144.38</v>
      </c>
      <c r="AU25" s="31">
        <v>36.1</v>
      </c>
      <c r="AV25" s="33">
        <v>4281.3</v>
      </c>
      <c r="AW25" s="31">
        <v>487.29</v>
      </c>
      <c r="AX25" s="31">
        <v>162.43</v>
      </c>
      <c r="AY25" s="31">
        <v>50.53</v>
      </c>
      <c r="AZ25" s="31">
        <v>36.1</v>
      </c>
      <c r="BA25" s="31">
        <v>54.14</v>
      </c>
      <c r="BB25" s="31">
        <v>7.94</v>
      </c>
      <c r="BC25" s="31">
        <v>144.38</v>
      </c>
      <c r="BD25" s="33">
        <v>942.81</v>
      </c>
      <c r="BE25" s="33">
        <v>2937.88</v>
      </c>
    </row>
    <row r="26" spans="1:57" x14ac:dyDescent="0.2">
      <c r="A26" s="30">
        <v>20</v>
      </c>
      <c r="B26" s="45" t="s">
        <v>216</v>
      </c>
      <c r="C26" s="45" t="s">
        <v>217</v>
      </c>
      <c r="D26" s="30" t="s">
        <v>218</v>
      </c>
      <c r="E26" s="30" t="s">
        <v>219</v>
      </c>
      <c r="F26" s="30" t="s">
        <v>220</v>
      </c>
      <c r="G26" s="45" t="s">
        <v>64</v>
      </c>
      <c r="H26" s="45" t="s">
        <v>216</v>
      </c>
      <c r="I26" s="45" t="s">
        <v>65</v>
      </c>
      <c r="J26" s="47">
        <v>28142</v>
      </c>
      <c r="K26" s="30" t="s">
        <v>108</v>
      </c>
      <c r="L26" s="45" t="s">
        <v>67</v>
      </c>
      <c r="M26" s="45" t="s">
        <v>68</v>
      </c>
      <c r="N26" s="45" t="s">
        <v>69</v>
      </c>
      <c r="O26" s="30" t="s">
        <v>70</v>
      </c>
      <c r="P26" s="30" t="s">
        <v>91</v>
      </c>
      <c r="Q26" s="45" t="s">
        <v>81</v>
      </c>
      <c r="R26" s="45" t="s">
        <v>221</v>
      </c>
      <c r="S26" s="30" t="s">
        <v>83</v>
      </c>
      <c r="T26" s="30" t="s">
        <v>222</v>
      </c>
      <c r="U26" s="47">
        <v>45976</v>
      </c>
      <c r="V26" s="30"/>
      <c r="W26" s="30"/>
      <c r="X26" s="31">
        <v>29</v>
      </c>
      <c r="Y26" s="31">
        <v>1</v>
      </c>
      <c r="Z26" s="30"/>
      <c r="AA26" s="30"/>
      <c r="AB26" s="30"/>
      <c r="AC26" s="31">
        <v>11</v>
      </c>
      <c r="AD26" s="32">
        <v>3450</v>
      </c>
      <c r="AE26" s="32">
        <v>113</v>
      </c>
      <c r="AF26" s="31">
        <v>3335</v>
      </c>
      <c r="AG26" s="31">
        <v>113</v>
      </c>
      <c r="AH26" s="30"/>
      <c r="AI26" s="30"/>
      <c r="AJ26" s="31">
        <v>326.62</v>
      </c>
      <c r="AK26" s="31">
        <v>115</v>
      </c>
      <c r="AL26" s="33">
        <v>3889.62</v>
      </c>
      <c r="AM26" s="31">
        <v>1425.2</v>
      </c>
      <c r="AN26" s="30"/>
      <c r="AO26" s="31">
        <v>111.03</v>
      </c>
      <c r="AP26" s="30"/>
      <c r="AQ26" s="31">
        <v>388.96</v>
      </c>
      <c r="AR26" s="31">
        <v>62.23</v>
      </c>
      <c r="AS26" s="31">
        <v>53.29</v>
      </c>
      <c r="AT26" s="31">
        <v>77.790000000000006</v>
      </c>
      <c r="AU26" s="31">
        <v>19.45</v>
      </c>
      <c r="AV26" s="33">
        <v>2137.9499999999998</v>
      </c>
      <c r="AW26" s="31">
        <v>350.07</v>
      </c>
      <c r="AX26" s="30"/>
      <c r="AY26" s="31">
        <v>27.23</v>
      </c>
      <c r="AZ26" s="31">
        <v>19.45</v>
      </c>
      <c r="BA26" s="31">
        <v>29.17</v>
      </c>
      <c r="BB26" s="31">
        <v>6.61</v>
      </c>
      <c r="BC26" s="31">
        <v>77.790000000000006</v>
      </c>
      <c r="BD26" s="33">
        <v>510.32</v>
      </c>
      <c r="BE26" s="33">
        <v>1751.67</v>
      </c>
    </row>
    <row r="27" spans="1:57" x14ac:dyDescent="0.2">
      <c r="A27" s="30">
        <v>21</v>
      </c>
      <c r="B27" s="45" t="s">
        <v>223</v>
      </c>
      <c r="C27" s="45" t="s">
        <v>224</v>
      </c>
      <c r="D27" s="30" t="s">
        <v>225</v>
      </c>
      <c r="E27" s="30" t="s">
        <v>226</v>
      </c>
      <c r="F27" s="30" t="s">
        <v>227</v>
      </c>
      <c r="G27" s="45" t="s">
        <v>64</v>
      </c>
      <c r="H27" s="45" t="s">
        <v>223</v>
      </c>
      <c r="I27" s="45" t="s">
        <v>65</v>
      </c>
      <c r="J27" s="47">
        <v>32587</v>
      </c>
      <c r="K27" s="30" t="s">
        <v>90</v>
      </c>
      <c r="L27" s="45" t="s">
        <v>67</v>
      </c>
      <c r="M27" s="45" t="s">
        <v>68</v>
      </c>
      <c r="N27" s="45" t="s">
        <v>69</v>
      </c>
      <c r="O27" s="30" t="s">
        <v>70</v>
      </c>
      <c r="P27" s="30" t="s">
        <v>228</v>
      </c>
      <c r="Q27" s="45" t="s">
        <v>81</v>
      </c>
      <c r="R27" s="45" t="s">
        <v>229</v>
      </c>
      <c r="S27" s="30" t="s">
        <v>186</v>
      </c>
      <c r="T27" s="30" t="s">
        <v>230</v>
      </c>
      <c r="U27" s="47">
        <v>45957</v>
      </c>
      <c r="V27" s="30"/>
      <c r="W27" s="30"/>
      <c r="X27" s="31">
        <v>30</v>
      </c>
      <c r="Y27" s="30"/>
      <c r="Z27" s="30"/>
      <c r="AA27" s="30"/>
      <c r="AB27" s="30"/>
      <c r="AC27" s="31">
        <v>11</v>
      </c>
      <c r="AD27" s="32">
        <v>3400</v>
      </c>
      <c r="AE27" s="34"/>
      <c r="AF27" s="31">
        <v>3400</v>
      </c>
      <c r="AG27" s="30"/>
      <c r="AH27" s="30"/>
      <c r="AI27" s="30"/>
      <c r="AJ27" s="31">
        <v>311.66000000000003</v>
      </c>
      <c r="AK27" s="30"/>
      <c r="AL27" s="33">
        <v>3711.66</v>
      </c>
      <c r="AM27" s="31">
        <v>1360</v>
      </c>
      <c r="AN27" s="30"/>
      <c r="AO27" s="31">
        <v>103.34</v>
      </c>
      <c r="AP27" s="30"/>
      <c r="AQ27" s="31">
        <v>371.17</v>
      </c>
      <c r="AR27" s="31">
        <v>62.73</v>
      </c>
      <c r="AS27" s="31">
        <v>50.85</v>
      </c>
      <c r="AT27" s="31">
        <v>74.23</v>
      </c>
      <c r="AU27" s="31">
        <v>18.559999999999999</v>
      </c>
      <c r="AV27" s="33">
        <v>2040.88</v>
      </c>
      <c r="AW27" s="31">
        <v>334.05</v>
      </c>
      <c r="AX27" s="30"/>
      <c r="AY27" s="31">
        <v>25.98</v>
      </c>
      <c r="AZ27" s="31">
        <v>18.559999999999999</v>
      </c>
      <c r="BA27" s="31">
        <v>27.84</v>
      </c>
      <c r="BB27" s="31">
        <v>4.08</v>
      </c>
      <c r="BC27" s="31">
        <v>74.23</v>
      </c>
      <c r="BD27" s="33">
        <v>484.74</v>
      </c>
      <c r="BE27" s="33">
        <v>1670.78</v>
      </c>
    </row>
    <row r="28" spans="1:57" x14ac:dyDescent="0.2">
      <c r="A28" s="30">
        <v>22</v>
      </c>
      <c r="B28" s="45" t="s">
        <v>231</v>
      </c>
      <c r="C28" s="45" t="s">
        <v>232</v>
      </c>
      <c r="D28" s="30" t="s">
        <v>233</v>
      </c>
      <c r="E28" s="30" t="s">
        <v>234</v>
      </c>
      <c r="F28" s="30" t="s">
        <v>235</v>
      </c>
      <c r="G28" s="45" t="s">
        <v>64</v>
      </c>
      <c r="H28" s="45" t="s">
        <v>231</v>
      </c>
      <c r="I28" s="45" t="s">
        <v>65</v>
      </c>
      <c r="J28" s="47">
        <v>35027</v>
      </c>
      <c r="K28" s="30" t="s">
        <v>108</v>
      </c>
      <c r="L28" s="45" t="s">
        <v>67</v>
      </c>
      <c r="M28" s="45" t="s">
        <v>68</v>
      </c>
      <c r="N28" s="45" t="s">
        <v>69</v>
      </c>
      <c r="O28" s="30" t="s">
        <v>70</v>
      </c>
      <c r="P28" s="30" t="s">
        <v>91</v>
      </c>
      <c r="Q28" s="45" t="s">
        <v>81</v>
      </c>
      <c r="R28" s="45" t="s">
        <v>236</v>
      </c>
      <c r="S28" s="30" t="s">
        <v>101</v>
      </c>
      <c r="T28" s="30" t="s">
        <v>237</v>
      </c>
      <c r="U28" s="47">
        <v>45957</v>
      </c>
      <c r="V28" s="30"/>
      <c r="W28" s="30"/>
      <c r="X28" s="31">
        <v>30</v>
      </c>
      <c r="Y28" s="30"/>
      <c r="Z28" s="30"/>
      <c r="AA28" s="30"/>
      <c r="AB28" s="30"/>
      <c r="AC28" s="31">
        <v>11</v>
      </c>
      <c r="AD28" s="32">
        <v>3450</v>
      </c>
      <c r="AE28" s="34"/>
      <c r="AF28" s="31">
        <v>3450</v>
      </c>
      <c r="AG28" s="30"/>
      <c r="AH28" s="30"/>
      <c r="AI28" s="30"/>
      <c r="AJ28" s="31">
        <v>316.25</v>
      </c>
      <c r="AK28" s="30"/>
      <c r="AL28" s="33">
        <v>3766.25</v>
      </c>
      <c r="AM28" s="31">
        <v>1380</v>
      </c>
      <c r="AN28" s="30"/>
      <c r="AO28" s="31">
        <v>80.84</v>
      </c>
      <c r="AP28" s="30"/>
      <c r="AQ28" s="31">
        <v>376.63</v>
      </c>
      <c r="AR28" s="30"/>
      <c r="AS28" s="31">
        <v>51.6</v>
      </c>
      <c r="AT28" s="31">
        <v>75.33</v>
      </c>
      <c r="AU28" s="31">
        <v>18.829999999999998</v>
      </c>
      <c r="AV28" s="33">
        <v>1983.23</v>
      </c>
      <c r="AW28" s="31">
        <v>338.96</v>
      </c>
      <c r="AX28" s="30"/>
      <c r="AY28" s="31">
        <v>26.36</v>
      </c>
      <c r="AZ28" s="31">
        <v>18.829999999999998</v>
      </c>
      <c r="BA28" s="31">
        <v>28.25</v>
      </c>
      <c r="BB28" s="31">
        <v>4.1399999999999997</v>
      </c>
      <c r="BC28" s="31">
        <v>75.33</v>
      </c>
      <c r="BD28" s="33">
        <v>491.87</v>
      </c>
      <c r="BE28" s="33">
        <v>1783.02</v>
      </c>
    </row>
    <row r="29" spans="1:57" x14ac:dyDescent="0.2">
      <c r="A29" s="30">
        <v>23</v>
      </c>
      <c r="B29" s="45" t="s">
        <v>238</v>
      </c>
      <c r="C29" s="45" t="s">
        <v>239</v>
      </c>
      <c r="D29" s="30" t="s">
        <v>240</v>
      </c>
      <c r="E29" s="30" t="s">
        <v>241</v>
      </c>
      <c r="F29" s="30" t="s">
        <v>242</v>
      </c>
      <c r="G29" s="45" t="s">
        <v>64</v>
      </c>
      <c r="H29" s="45" t="s">
        <v>238</v>
      </c>
      <c r="I29" s="45" t="s">
        <v>161</v>
      </c>
      <c r="J29" s="47">
        <v>32137</v>
      </c>
      <c r="K29" s="30" t="s">
        <v>243</v>
      </c>
      <c r="L29" s="45" t="s">
        <v>67</v>
      </c>
      <c r="M29" s="45" t="s">
        <v>68</v>
      </c>
      <c r="N29" s="45" t="s">
        <v>69</v>
      </c>
      <c r="O29" s="30" t="s">
        <v>70</v>
      </c>
      <c r="P29" s="30" t="s">
        <v>91</v>
      </c>
      <c r="Q29" s="45" t="s">
        <v>81</v>
      </c>
      <c r="R29" s="45" t="s">
        <v>244</v>
      </c>
      <c r="S29" s="30" t="s">
        <v>83</v>
      </c>
      <c r="T29" s="30" t="s">
        <v>245</v>
      </c>
      <c r="U29" s="47">
        <v>45957</v>
      </c>
      <c r="V29" s="30"/>
      <c r="W29" s="30"/>
      <c r="X29" s="31">
        <v>30</v>
      </c>
      <c r="Y29" s="30"/>
      <c r="Z29" s="30"/>
      <c r="AA29" s="30"/>
      <c r="AB29" s="30"/>
      <c r="AC29" s="31">
        <v>22</v>
      </c>
      <c r="AD29" s="32">
        <v>3200</v>
      </c>
      <c r="AE29" s="34"/>
      <c r="AF29" s="31">
        <v>3200</v>
      </c>
      <c r="AG29" s="30"/>
      <c r="AH29" s="30"/>
      <c r="AI29" s="30"/>
      <c r="AJ29" s="31">
        <v>586.69000000000005</v>
      </c>
      <c r="AK29" s="30"/>
      <c r="AL29" s="33">
        <v>3786.69</v>
      </c>
      <c r="AM29" s="31">
        <v>1280</v>
      </c>
      <c r="AN29" s="30"/>
      <c r="AO29" s="31">
        <v>91.6</v>
      </c>
      <c r="AP29" s="30"/>
      <c r="AQ29" s="31">
        <v>378.67</v>
      </c>
      <c r="AR29" s="30"/>
      <c r="AS29" s="31">
        <v>51.88</v>
      </c>
      <c r="AT29" s="31">
        <v>75.73</v>
      </c>
      <c r="AU29" s="31">
        <v>18.93</v>
      </c>
      <c r="AV29" s="33">
        <v>1896.81</v>
      </c>
      <c r="AW29" s="31">
        <v>255.6</v>
      </c>
      <c r="AX29" s="31">
        <v>85.2</v>
      </c>
      <c r="AY29" s="31">
        <v>26.51</v>
      </c>
      <c r="AZ29" s="31">
        <v>18.93</v>
      </c>
      <c r="BA29" s="31">
        <v>28.4</v>
      </c>
      <c r="BB29" s="31">
        <v>6.44</v>
      </c>
      <c r="BC29" s="31">
        <v>75.73</v>
      </c>
      <c r="BD29" s="33">
        <v>496.81</v>
      </c>
      <c r="BE29" s="33">
        <v>1889.88</v>
      </c>
    </row>
    <row r="30" spans="1:57" x14ac:dyDescent="0.2">
      <c r="A30" s="30">
        <v>24</v>
      </c>
      <c r="B30" s="45" t="s">
        <v>246</v>
      </c>
      <c r="C30" s="45" t="s">
        <v>247</v>
      </c>
      <c r="D30" s="30" t="s">
        <v>248</v>
      </c>
      <c r="E30" s="30" t="s">
        <v>249</v>
      </c>
      <c r="F30" s="30" t="s">
        <v>98</v>
      </c>
      <c r="G30" s="45" t="s">
        <v>64</v>
      </c>
      <c r="H30" s="45" t="s">
        <v>246</v>
      </c>
      <c r="I30" s="45" t="s">
        <v>65</v>
      </c>
      <c r="J30" s="47">
        <v>35158</v>
      </c>
      <c r="K30" s="30" t="s">
        <v>139</v>
      </c>
      <c r="L30" s="45" t="s">
        <v>67</v>
      </c>
      <c r="M30" s="45" t="s">
        <v>68</v>
      </c>
      <c r="N30" s="45" t="s">
        <v>69</v>
      </c>
      <c r="O30" s="30" t="s">
        <v>70</v>
      </c>
      <c r="P30" s="30" t="s">
        <v>91</v>
      </c>
      <c r="Q30" s="45" t="s">
        <v>81</v>
      </c>
      <c r="R30" s="45" t="s">
        <v>250</v>
      </c>
      <c r="S30" s="30" t="s">
        <v>74</v>
      </c>
      <c r="T30" s="30"/>
      <c r="U30" s="47">
        <v>45957</v>
      </c>
      <c r="V30" s="30"/>
      <c r="W30" s="30"/>
      <c r="X30" s="31">
        <v>30</v>
      </c>
      <c r="Y30" s="30"/>
      <c r="Z30" s="30"/>
      <c r="AA30" s="30"/>
      <c r="AB30" s="30"/>
      <c r="AC30" s="31">
        <v>11</v>
      </c>
      <c r="AD30" s="32">
        <v>3500</v>
      </c>
      <c r="AE30" s="34"/>
      <c r="AF30" s="31">
        <v>3500</v>
      </c>
      <c r="AG30" s="30"/>
      <c r="AH30" s="30"/>
      <c r="AI30" s="30"/>
      <c r="AJ30" s="31">
        <v>320.83999999999997</v>
      </c>
      <c r="AK30" s="30"/>
      <c r="AL30" s="33">
        <v>3820.84</v>
      </c>
      <c r="AM30" s="31">
        <v>1400</v>
      </c>
      <c r="AN30" s="31">
        <v>496.71</v>
      </c>
      <c r="AO30" s="31">
        <v>95.13</v>
      </c>
      <c r="AP30" s="30"/>
      <c r="AQ30" s="30"/>
      <c r="AR30" s="30"/>
      <c r="AS30" s="30"/>
      <c r="AT30" s="30"/>
      <c r="AU30" s="31">
        <v>19.100000000000001</v>
      </c>
      <c r="AV30" s="33">
        <v>2010.94</v>
      </c>
      <c r="AW30" s="31">
        <v>343.88</v>
      </c>
      <c r="AX30" s="30"/>
      <c r="AY30" s="31">
        <v>26.75</v>
      </c>
      <c r="AZ30" s="31">
        <v>19.100000000000001</v>
      </c>
      <c r="BA30" s="31">
        <v>28.66</v>
      </c>
      <c r="BB30" s="31">
        <v>4.2</v>
      </c>
      <c r="BC30" s="30"/>
      <c r="BD30" s="33">
        <v>422.59</v>
      </c>
      <c r="BE30" s="33">
        <v>1809.9</v>
      </c>
    </row>
    <row r="31" spans="1:57" x14ac:dyDescent="0.2">
      <c r="A31" s="30">
        <v>25</v>
      </c>
      <c r="B31" s="45" t="s">
        <v>251</v>
      </c>
      <c r="C31" s="45" t="s">
        <v>252</v>
      </c>
      <c r="D31" s="30" t="s">
        <v>253</v>
      </c>
      <c r="E31" s="30" t="s">
        <v>254</v>
      </c>
      <c r="F31" s="30" t="s">
        <v>255</v>
      </c>
      <c r="G31" s="45" t="s">
        <v>64</v>
      </c>
      <c r="H31" s="45" t="s">
        <v>251</v>
      </c>
      <c r="I31" s="45" t="s">
        <v>65</v>
      </c>
      <c r="J31" s="47">
        <v>33624</v>
      </c>
      <c r="K31" s="30" t="s">
        <v>90</v>
      </c>
      <c r="L31" s="45" t="s">
        <v>67</v>
      </c>
      <c r="M31" s="45" t="s">
        <v>68</v>
      </c>
      <c r="N31" s="45" t="s">
        <v>69</v>
      </c>
      <c r="O31" s="30" t="s">
        <v>70</v>
      </c>
      <c r="P31" s="30" t="s">
        <v>71</v>
      </c>
      <c r="Q31" s="45" t="s">
        <v>72</v>
      </c>
      <c r="R31" s="45" t="s">
        <v>256</v>
      </c>
      <c r="S31" s="30" t="s">
        <v>101</v>
      </c>
      <c r="T31" s="30" t="s">
        <v>257</v>
      </c>
      <c r="U31" s="47">
        <v>45957</v>
      </c>
      <c r="V31" s="30"/>
      <c r="W31" s="30"/>
      <c r="X31" s="31">
        <v>30</v>
      </c>
      <c r="Y31" s="30"/>
      <c r="Z31" s="30"/>
      <c r="AA31" s="31">
        <v>2</v>
      </c>
      <c r="AB31" s="31">
        <v>2</v>
      </c>
      <c r="AC31" s="31">
        <v>11</v>
      </c>
      <c r="AD31" s="32">
        <v>3400</v>
      </c>
      <c r="AE31" s="34"/>
      <c r="AF31" s="31">
        <v>3400</v>
      </c>
      <c r="AG31" s="30"/>
      <c r="AH31" s="31">
        <v>35.42</v>
      </c>
      <c r="AI31" s="31">
        <v>38.25</v>
      </c>
      <c r="AJ31" s="31">
        <v>311.66000000000003</v>
      </c>
      <c r="AK31" s="30"/>
      <c r="AL31" s="33">
        <v>3785.33</v>
      </c>
      <c r="AM31" s="31">
        <v>1360</v>
      </c>
      <c r="AN31" s="30"/>
      <c r="AO31" s="31">
        <v>78.599999999999994</v>
      </c>
      <c r="AP31" s="30"/>
      <c r="AQ31" s="31">
        <v>378.53</v>
      </c>
      <c r="AR31" s="30"/>
      <c r="AS31" s="31">
        <v>51.86</v>
      </c>
      <c r="AT31" s="31">
        <v>75.709999999999994</v>
      </c>
      <c r="AU31" s="31">
        <v>18.93</v>
      </c>
      <c r="AV31" s="33">
        <v>1963.63</v>
      </c>
      <c r="AW31" s="31">
        <v>340.68</v>
      </c>
      <c r="AX31" s="30"/>
      <c r="AY31" s="31">
        <v>26.5</v>
      </c>
      <c r="AZ31" s="31">
        <v>18.93</v>
      </c>
      <c r="BA31" s="31">
        <v>28.39</v>
      </c>
      <c r="BB31" s="31">
        <v>4.16</v>
      </c>
      <c r="BC31" s="31">
        <v>75.709999999999994</v>
      </c>
      <c r="BD31" s="33">
        <v>494.37</v>
      </c>
      <c r="BE31" s="33">
        <v>1821.7</v>
      </c>
    </row>
    <row r="32" spans="1:57" x14ac:dyDescent="0.2">
      <c r="A32" s="30">
        <v>26</v>
      </c>
      <c r="B32" s="45" t="s">
        <v>258</v>
      </c>
      <c r="C32" s="45" t="s">
        <v>259</v>
      </c>
      <c r="D32" s="30" t="s">
        <v>260</v>
      </c>
      <c r="E32" s="30" t="s">
        <v>261</v>
      </c>
      <c r="F32" s="30" t="s">
        <v>262</v>
      </c>
      <c r="G32" s="45" t="s">
        <v>64</v>
      </c>
      <c r="H32" s="45" t="s">
        <v>258</v>
      </c>
      <c r="I32" s="45" t="s">
        <v>65</v>
      </c>
      <c r="J32" s="47">
        <v>35728</v>
      </c>
      <c r="K32" s="30" t="s">
        <v>108</v>
      </c>
      <c r="L32" s="45" t="s">
        <v>67</v>
      </c>
      <c r="M32" s="45" t="s">
        <v>68</v>
      </c>
      <c r="N32" s="45" t="s">
        <v>69</v>
      </c>
      <c r="O32" s="30" t="s">
        <v>70</v>
      </c>
      <c r="P32" s="30" t="s">
        <v>71</v>
      </c>
      <c r="Q32" s="45" t="s">
        <v>72</v>
      </c>
      <c r="R32" s="45" t="s">
        <v>263</v>
      </c>
      <c r="S32" s="30" t="s">
        <v>101</v>
      </c>
      <c r="T32" s="30" t="s">
        <v>264</v>
      </c>
      <c r="U32" s="47">
        <v>45964</v>
      </c>
      <c r="V32" s="30"/>
      <c r="W32" s="30"/>
      <c r="X32" s="31">
        <v>29</v>
      </c>
      <c r="Y32" s="31">
        <v>1</v>
      </c>
      <c r="Z32" s="30"/>
      <c r="AA32" s="30"/>
      <c r="AB32" s="30"/>
      <c r="AC32" s="31">
        <v>11</v>
      </c>
      <c r="AD32" s="32">
        <v>3450</v>
      </c>
      <c r="AE32" s="34"/>
      <c r="AF32" s="31">
        <v>3335</v>
      </c>
      <c r="AG32" s="30"/>
      <c r="AH32" s="30"/>
      <c r="AI32" s="30"/>
      <c r="AJ32" s="31">
        <v>316.25</v>
      </c>
      <c r="AK32" s="31">
        <v>115</v>
      </c>
      <c r="AL32" s="33">
        <v>3766.25</v>
      </c>
      <c r="AM32" s="31">
        <v>1380</v>
      </c>
      <c r="AN32" s="30"/>
      <c r="AO32" s="31">
        <v>80.84</v>
      </c>
      <c r="AP32" s="30"/>
      <c r="AQ32" s="31">
        <v>376.63</v>
      </c>
      <c r="AR32" s="30"/>
      <c r="AS32" s="31">
        <v>51.6</v>
      </c>
      <c r="AT32" s="31">
        <v>75.33</v>
      </c>
      <c r="AU32" s="31">
        <v>18.829999999999998</v>
      </c>
      <c r="AV32" s="33">
        <v>1983.23</v>
      </c>
      <c r="AW32" s="31">
        <v>338.96</v>
      </c>
      <c r="AX32" s="30"/>
      <c r="AY32" s="31">
        <v>26.36</v>
      </c>
      <c r="AZ32" s="31">
        <v>18.829999999999998</v>
      </c>
      <c r="BA32" s="31">
        <v>28.25</v>
      </c>
      <c r="BB32" s="31">
        <v>4.1399999999999997</v>
      </c>
      <c r="BC32" s="31">
        <v>75.33</v>
      </c>
      <c r="BD32" s="33">
        <v>491.87</v>
      </c>
      <c r="BE32" s="33">
        <v>1783.02</v>
      </c>
    </row>
    <row r="33" spans="1:57" x14ac:dyDescent="0.2">
      <c r="A33" s="30">
        <v>27</v>
      </c>
      <c r="B33" s="45" t="s">
        <v>265</v>
      </c>
      <c r="C33" s="45" t="s">
        <v>266</v>
      </c>
      <c r="D33" s="30" t="s">
        <v>267</v>
      </c>
      <c r="E33" s="30" t="s">
        <v>268</v>
      </c>
      <c r="F33" s="30" t="s">
        <v>269</v>
      </c>
      <c r="G33" s="45" t="s">
        <v>64</v>
      </c>
      <c r="H33" s="45" t="s">
        <v>265</v>
      </c>
      <c r="I33" s="45" t="s">
        <v>65</v>
      </c>
      <c r="J33" s="47">
        <v>32874</v>
      </c>
      <c r="K33" s="30" t="s">
        <v>139</v>
      </c>
      <c r="L33" s="45" t="s">
        <v>67</v>
      </c>
      <c r="M33" s="45" t="s">
        <v>68</v>
      </c>
      <c r="N33" s="45" t="s">
        <v>69</v>
      </c>
      <c r="O33" s="30" t="s">
        <v>70</v>
      </c>
      <c r="P33" s="30" t="s">
        <v>270</v>
      </c>
      <c r="Q33" s="45" t="s">
        <v>81</v>
      </c>
      <c r="R33" s="45" t="s">
        <v>271</v>
      </c>
      <c r="S33" s="30" t="s">
        <v>101</v>
      </c>
      <c r="T33" s="30" t="s">
        <v>272</v>
      </c>
      <c r="U33" s="47">
        <v>45950</v>
      </c>
      <c r="V33" s="30"/>
      <c r="W33" s="30"/>
      <c r="X33" s="31">
        <v>30</v>
      </c>
      <c r="Y33" s="30"/>
      <c r="Z33" s="30"/>
      <c r="AA33" s="30"/>
      <c r="AB33" s="30"/>
      <c r="AC33" s="31">
        <v>11</v>
      </c>
      <c r="AD33" s="32">
        <v>3500</v>
      </c>
      <c r="AE33" s="32">
        <v>113</v>
      </c>
      <c r="AF33" s="31">
        <v>3500</v>
      </c>
      <c r="AG33" s="31">
        <v>113</v>
      </c>
      <c r="AH33" s="30"/>
      <c r="AI33" s="30"/>
      <c r="AJ33" s="31">
        <v>331.18</v>
      </c>
      <c r="AK33" s="30"/>
      <c r="AL33" s="33">
        <v>3944.18</v>
      </c>
      <c r="AM33" s="31">
        <v>1445.2</v>
      </c>
      <c r="AN33" s="30"/>
      <c r="AO33" s="31">
        <v>119.72</v>
      </c>
      <c r="AP33" s="30"/>
      <c r="AQ33" s="31">
        <v>394.42</v>
      </c>
      <c r="AR33" s="31">
        <v>61.13</v>
      </c>
      <c r="AS33" s="31">
        <v>54.04</v>
      </c>
      <c r="AT33" s="31">
        <v>78.88</v>
      </c>
      <c r="AU33" s="31">
        <v>19.72</v>
      </c>
      <c r="AV33" s="33">
        <v>2173.11</v>
      </c>
      <c r="AW33" s="31">
        <v>354.98</v>
      </c>
      <c r="AX33" s="30"/>
      <c r="AY33" s="31">
        <v>27.61</v>
      </c>
      <c r="AZ33" s="31">
        <v>19.72</v>
      </c>
      <c r="BA33" s="31">
        <v>29.58</v>
      </c>
      <c r="BB33" s="31">
        <v>4.34</v>
      </c>
      <c r="BC33" s="31">
        <v>78.88</v>
      </c>
      <c r="BD33" s="33">
        <v>515.11</v>
      </c>
      <c r="BE33" s="33">
        <v>1771.07</v>
      </c>
    </row>
    <row r="34" spans="1:57" x14ac:dyDescent="0.2">
      <c r="A34" s="30">
        <v>28</v>
      </c>
      <c r="B34" s="45" t="s">
        <v>273</v>
      </c>
      <c r="C34" s="45" t="s">
        <v>274</v>
      </c>
      <c r="D34" s="30" t="s">
        <v>275</v>
      </c>
      <c r="E34" s="30" t="s">
        <v>276</v>
      </c>
      <c r="F34" s="30" t="s">
        <v>168</v>
      </c>
      <c r="G34" s="45" t="s">
        <v>64</v>
      </c>
      <c r="H34" s="45" t="s">
        <v>273</v>
      </c>
      <c r="I34" s="45" t="s">
        <v>65</v>
      </c>
      <c r="J34" s="47">
        <v>34104</v>
      </c>
      <c r="K34" s="30" t="s">
        <v>90</v>
      </c>
      <c r="L34" s="45" t="s">
        <v>67</v>
      </c>
      <c r="M34" s="45" t="s">
        <v>68</v>
      </c>
      <c r="N34" s="45" t="s">
        <v>69</v>
      </c>
      <c r="O34" s="30" t="s">
        <v>70</v>
      </c>
      <c r="P34" s="30" t="s">
        <v>71</v>
      </c>
      <c r="Q34" s="45" t="s">
        <v>72</v>
      </c>
      <c r="R34" s="45" t="s">
        <v>277</v>
      </c>
      <c r="S34" s="30" t="s">
        <v>74</v>
      </c>
      <c r="T34" s="30"/>
      <c r="U34" s="47">
        <v>45957</v>
      </c>
      <c r="V34" s="30"/>
      <c r="W34" s="30"/>
      <c r="X34" s="31">
        <v>30</v>
      </c>
      <c r="Y34" s="30"/>
      <c r="Z34" s="30"/>
      <c r="AA34" s="30"/>
      <c r="AB34" s="30"/>
      <c r="AC34" s="31">
        <v>11</v>
      </c>
      <c r="AD34" s="32">
        <v>3400</v>
      </c>
      <c r="AE34" s="32">
        <v>113</v>
      </c>
      <c r="AF34" s="31">
        <v>3400</v>
      </c>
      <c r="AG34" s="31">
        <v>113</v>
      </c>
      <c r="AH34" s="30"/>
      <c r="AI34" s="30"/>
      <c r="AJ34" s="31">
        <v>322.02999999999997</v>
      </c>
      <c r="AK34" s="30"/>
      <c r="AL34" s="33">
        <v>3835.03</v>
      </c>
      <c r="AM34" s="31">
        <v>1405.2</v>
      </c>
      <c r="AN34" s="31">
        <v>498.55</v>
      </c>
      <c r="AO34" s="31">
        <v>109.3</v>
      </c>
      <c r="AP34" s="30"/>
      <c r="AQ34" s="30"/>
      <c r="AR34" s="30"/>
      <c r="AS34" s="30"/>
      <c r="AT34" s="30"/>
      <c r="AU34" s="31">
        <v>19.18</v>
      </c>
      <c r="AV34" s="33">
        <v>2032.23</v>
      </c>
      <c r="AW34" s="31">
        <v>345.15</v>
      </c>
      <c r="AX34" s="30"/>
      <c r="AY34" s="31">
        <v>26.85</v>
      </c>
      <c r="AZ34" s="31">
        <v>19.18</v>
      </c>
      <c r="BA34" s="31">
        <v>28.76</v>
      </c>
      <c r="BB34" s="31">
        <v>4.22</v>
      </c>
      <c r="BC34" s="30"/>
      <c r="BD34" s="33">
        <v>424.16</v>
      </c>
      <c r="BE34" s="33">
        <v>1802.8</v>
      </c>
    </row>
    <row r="35" spans="1:57" x14ac:dyDescent="0.2">
      <c r="A35" s="35"/>
      <c r="B35" s="35"/>
      <c r="C35" s="35"/>
      <c r="D35" s="35"/>
      <c r="E35" s="35"/>
      <c r="F35" s="35"/>
      <c r="G35" s="48"/>
      <c r="H35" s="48"/>
      <c r="I35" s="48"/>
      <c r="J35" s="48"/>
      <c r="K35" s="35"/>
      <c r="L35" s="48"/>
      <c r="M35" s="48"/>
      <c r="N35" s="48"/>
      <c r="O35" s="35"/>
      <c r="P35" s="35"/>
      <c r="Q35" s="48"/>
      <c r="R35" s="48"/>
      <c r="S35" s="35"/>
      <c r="T35" s="35"/>
      <c r="U35" s="48"/>
      <c r="V35" s="35"/>
      <c r="W35" s="35"/>
      <c r="X35" s="36">
        <f t="shared" ref="X35" si="0">SUM(X7:X34)</f>
        <v>830</v>
      </c>
      <c r="Y35" s="36">
        <f t="shared" ref="Y35:BE35" si="1">SUM(Y7:Y34)</f>
        <v>3</v>
      </c>
      <c r="Z35" s="36">
        <f t="shared" si="1"/>
        <v>7</v>
      </c>
      <c r="AA35" s="36">
        <f t="shared" si="1"/>
        <v>12</v>
      </c>
      <c r="AB35" s="36">
        <f t="shared" si="1"/>
        <v>5</v>
      </c>
      <c r="AC35" s="36">
        <f t="shared" si="1"/>
        <v>319</v>
      </c>
      <c r="AD35" s="37">
        <f t="shared" si="1"/>
        <v>140650</v>
      </c>
      <c r="AE35" s="37">
        <f t="shared" si="1"/>
        <v>2034</v>
      </c>
      <c r="AF35" s="36">
        <f t="shared" si="1"/>
        <v>139398.33000000002</v>
      </c>
      <c r="AG35" s="36">
        <f t="shared" si="1"/>
        <v>2034</v>
      </c>
      <c r="AH35" s="36">
        <f t="shared" si="1"/>
        <v>217.85000000000002</v>
      </c>
      <c r="AI35" s="36">
        <f t="shared" si="1"/>
        <v>97.460000000000008</v>
      </c>
      <c r="AJ35" s="36">
        <f t="shared" si="1"/>
        <v>11636.840000000002</v>
      </c>
      <c r="AK35" s="36">
        <f t="shared" si="1"/>
        <v>446.66999999999996</v>
      </c>
      <c r="AL35" s="36">
        <f t="shared" si="1"/>
        <v>153831.14999999997</v>
      </c>
      <c r="AM35" s="36">
        <f t="shared" si="1"/>
        <v>57073.599999999977</v>
      </c>
      <c r="AN35" s="36">
        <f t="shared" si="1"/>
        <v>4907.1900000000005</v>
      </c>
      <c r="AO35" s="36">
        <f t="shared" si="1"/>
        <v>10374.99</v>
      </c>
      <c r="AP35" s="36">
        <f t="shared" si="1"/>
        <v>114</v>
      </c>
      <c r="AQ35" s="36">
        <f t="shared" si="1"/>
        <v>11608.359999999999</v>
      </c>
      <c r="AR35" s="36">
        <f t="shared" si="1"/>
        <v>554.00000000000011</v>
      </c>
      <c r="AS35" s="36">
        <f t="shared" si="1"/>
        <v>1482.0499999999997</v>
      </c>
      <c r="AT35" s="36">
        <f t="shared" si="1"/>
        <v>2321.66</v>
      </c>
      <c r="AU35" s="36">
        <f t="shared" si="1"/>
        <v>769.18999999999994</v>
      </c>
      <c r="AV35" s="36">
        <f t="shared" si="1"/>
        <v>89205.040000000023</v>
      </c>
      <c r="AW35" s="36">
        <f t="shared" si="1"/>
        <v>11856.949999999999</v>
      </c>
      <c r="AX35" s="36">
        <f t="shared" si="1"/>
        <v>1987.8300000000002</v>
      </c>
      <c r="AY35" s="36">
        <f t="shared" si="1"/>
        <v>1021.47</v>
      </c>
      <c r="AZ35" s="36">
        <f t="shared" si="1"/>
        <v>769.18999999999994</v>
      </c>
      <c r="BA35" s="36">
        <f t="shared" si="1"/>
        <v>1153.72</v>
      </c>
      <c r="BB35" s="36">
        <f t="shared" si="1"/>
        <v>217.52999999999997</v>
      </c>
      <c r="BC35" s="36">
        <f t="shared" si="1"/>
        <v>2321.66</v>
      </c>
      <c r="BD35" s="36">
        <f t="shared" si="1"/>
        <v>19328.350000000002</v>
      </c>
      <c r="BE35" s="36">
        <f t="shared" si="1"/>
        <v>64626.109999999986</v>
      </c>
    </row>
    <row r="36" spans="1:57" ht="10.8" thickBot="1" x14ac:dyDescent="0.25"/>
    <row r="37" spans="1:57" ht="15.75" customHeight="1" thickBot="1" x14ac:dyDescent="0.25">
      <c r="B37" s="1" t="s">
        <v>278</v>
      </c>
      <c r="C37" s="2"/>
      <c r="D37" s="3"/>
    </row>
    <row r="38" spans="1:57" x14ac:dyDescent="0.2">
      <c r="B38" s="4" t="s">
        <v>279</v>
      </c>
      <c r="C38" s="5"/>
      <c r="D38" s="6">
        <v>28</v>
      </c>
      <c r="BC38" s="7" t="s">
        <v>280</v>
      </c>
      <c r="BD38" s="8"/>
      <c r="BE38" s="9" t="s">
        <v>281</v>
      </c>
    </row>
    <row r="39" spans="1:57" x14ac:dyDescent="0.2">
      <c r="B39" s="10" t="s">
        <v>282</v>
      </c>
      <c r="C39" s="11"/>
      <c r="D39" s="12">
        <v>0</v>
      </c>
      <c r="BC39" s="13" t="s">
        <v>283</v>
      </c>
      <c r="BD39" s="14" t="s">
        <v>81</v>
      </c>
      <c r="BE39" s="15">
        <f>+SUMIF($Q$7:$Q$34,BD39,$BE$7:$BE$34)-BE41</f>
        <v>46100.719999999994</v>
      </c>
    </row>
    <row r="40" spans="1:57" x14ac:dyDescent="0.2">
      <c r="B40" s="10" t="s">
        <v>284</v>
      </c>
      <c r="C40" s="11"/>
      <c r="D40" s="16">
        <v>0</v>
      </c>
      <c r="BC40" s="13" t="s">
        <v>285</v>
      </c>
      <c r="BD40" s="14" t="s">
        <v>72</v>
      </c>
      <c r="BE40" s="15">
        <f>+SUMIF($Q$7:$Q$34,BD40,$BE$7:$BE$34)-BE42</f>
        <v>18525.39</v>
      </c>
    </row>
    <row r="41" spans="1:57" x14ac:dyDescent="0.2">
      <c r="B41" s="10" t="s">
        <v>286</v>
      </c>
      <c r="C41" s="11"/>
      <c r="D41" s="16">
        <v>0</v>
      </c>
      <c r="BC41" s="17" t="s">
        <v>287</v>
      </c>
      <c r="BD41" s="18" t="s">
        <v>81</v>
      </c>
      <c r="BE41" s="19"/>
    </row>
    <row r="42" spans="1:57" x14ac:dyDescent="0.2">
      <c r="B42" s="10" t="s">
        <v>288</v>
      </c>
      <c r="C42" s="11"/>
      <c r="D42" s="16">
        <v>0</v>
      </c>
      <c r="BC42" s="17" t="s">
        <v>287</v>
      </c>
      <c r="BD42" s="18" t="s">
        <v>72</v>
      </c>
      <c r="BE42" s="20"/>
    </row>
    <row r="43" spans="1:57" ht="10.8" thickBot="1" x14ac:dyDescent="0.25">
      <c r="B43" s="21" t="s">
        <v>289</v>
      </c>
      <c r="C43" s="22"/>
      <c r="D43" s="23">
        <f>+D38+D39-D40+D41-D42</f>
        <v>28</v>
      </c>
      <c r="BC43" s="24" t="s">
        <v>290</v>
      </c>
      <c r="BD43" s="38"/>
      <c r="BE43" s="25">
        <f>SUM(BE39:BE42)</f>
        <v>64626.109999999993</v>
      </c>
    </row>
  </sheetData>
  <autoFilter ref="A6:BF6" xr:uid="{0992F09A-21AD-42F6-87BF-052B907FFC42}"/>
  <mergeCells count="2">
    <mergeCell ref="A4:D4"/>
    <mergeCell ref="B37:D37"/>
  </mergeCells>
  <pageMargins left="0.75" right="0.75" top="0.75" bottom="0.5" header="0.5" footer="0.7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260F8-B75D-44B2-A29E-1282EFC73125}">
  <dimension ref="A3:BE43"/>
  <sheetViews>
    <sheetView tabSelected="1" workbookViewId="0">
      <pane xSplit="6" ySplit="6" topLeftCell="AV7" activePane="bottomRight" state="frozen"/>
      <selection pane="topRight" activeCell="G1" sqref="G1"/>
      <selection pane="bottomLeft" activeCell="A7" sqref="A7"/>
      <selection pane="bottomRight" activeCell="BH17" sqref="BH17"/>
    </sheetView>
  </sheetViews>
  <sheetFormatPr baseColWidth="10" defaultColWidth="9.109375" defaultRowHeight="10.199999999999999" x14ac:dyDescent="0.2"/>
  <cols>
    <col min="1" max="1" width="3.88671875" style="27" customWidth="1"/>
    <col min="2" max="2" width="10.33203125" style="27" customWidth="1"/>
    <col min="3" max="3" width="12.6640625" style="27" customWidth="1"/>
    <col min="4" max="4" width="12.21875" style="27" customWidth="1"/>
    <col min="5" max="5" width="11.21875" style="27" customWidth="1"/>
    <col min="6" max="6" width="12" style="27" customWidth="1"/>
    <col min="7" max="7" width="9.77734375" style="46" customWidth="1"/>
    <col min="8" max="8" width="10.33203125" style="46" customWidth="1"/>
    <col min="9" max="9" width="5.5546875" style="46" customWidth="1"/>
    <col min="10" max="10" width="12.77734375" style="46" customWidth="1"/>
    <col min="11" max="11" width="34.33203125" style="27" customWidth="1"/>
    <col min="12" max="12" width="10.33203125" style="46" customWidth="1"/>
    <col min="13" max="13" width="16.88671875" style="46" customWidth="1"/>
    <col min="14" max="14" width="10.5546875" style="46" customWidth="1"/>
    <col min="15" max="15" width="20.109375" style="27" bestFit="1" customWidth="1"/>
    <col min="16" max="16" width="35.44140625" style="27" customWidth="1"/>
    <col min="17" max="17" width="8.21875" style="46" customWidth="1"/>
    <col min="18" max="18" width="20.109375" style="46" customWidth="1"/>
    <col min="19" max="19" width="14.109375" style="27" customWidth="1"/>
    <col min="20" max="20" width="15.88671875" style="27" customWidth="1"/>
    <col min="21" max="21" width="11.33203125" style="46" customWidth="1"/>
    <col min="22" max="22" width="12.109375" style="27" customWidth="1"/>
    <col min="23" max="23" width="14" style="27" customWidth="1"/>
    <col min="24" max="26" width="10.109375" style="27" customWidth="1"/>
    <col min="27" max="29" width="11.21875" style="27" customWidth="1"/>
    <col min="30" max="30" width="12.6640625" style="27" customWidth="1"/>
    <col min="31" max="31" width="10.109375" style="27" customWidth="1"/>
    <col min="32" max="38" width="11.77734375" style="27" customWidth="1"/>
    <col min="39" max="39" width="10.21875" style="27" bestFit="1" customWidth="1"/>
    <col min="40" max="40" width="9.6640625" style="27" customWidth="1"/>
    <col min="41" max="41" width="8.88671875" style="27" customWidth="1"/>
    <col min="42" max="46" width="12.21875" style="27" customWidth="1"/>
    <col min="47" max="47" width="8.77734375" style="27" customWidth="1"/>
    <col min="48" max="48" width="11.33203125" style="27" customWidth="1"/>
    <col min="49" max="51" width="9.109375" style="27"/>
    <col min="52" max="52" width="9.6640625" style="27" customWidth="1"/>
    <col min="53" max="53" width="8.6640625" style="27" customWidth="1"/>
    <col min="54" max="54" width="10" style="27" bestFit="1" customWidth="1"/>
    <col min="55" max="55" width="11.44140625" style="27" customWidth="1"/>
    <col min="56" max="56" width="11.5546875" style="27" customWidth="1"/>
    <col min="57" max="57" width="10" style="27" bestFit="1" customWidth="1"/>
    <col min="58" max="16384" width="9.109375" style="27"/>
  </cols>
  <sheetData>
    <row r="3" spans="1:57" x14ac:dyDescent="0.2">
      <c r="A3" s="26" t="s">
        <v>0</v>
      </c>
    </row>
    <row r="4" spans="1:57" x14ac:dyDescent="0.2">
      <c r="A4" s="28" t="s">
        <v>1</v>
      </c>
      <c r="B4" s="29"/>
      <c r="C4" s="29"/>
      <c r="D4" s="29"/>
    </row>
    <row r="6" spans="1:57" s="44" customFormat="1" ht="25.2" customHeight="1" x14ac:dyDescent="0.3">
      <c r="A6" s="39" t="s">
        <v>2</v>
      </c>
      <c r="B6" s="40" t="s">
        <v>3</v>
      </c>
      <c r="C6" s="40" t="s">
        <v>4</v>
      </c>
      <c r="D6" s="40" t="s">
        <v>5</v>
      </c>
      <c r="E6" s="40" t="s">
        <v>6</v>
      </c>
      <c r="F6" s="40" t="s">
        <v>7</v>
      </c>
      <c r="G6" s="40" t="s">
        <v>8</v>
      </c>
      <c r="H6" s="40" t="s">
        <v>9</v>
      </c>
      <c r="I6" s="40" t="s">
        <v>10</v>
      </c>
      <c r="J6" s="40" t="s">
        <v>11</v>
      </c>
      <c r="K6" s="40" t="s">
        <v>12</v>
      </c>
      <c r="L6" s="40" t="s">
        <v>13</v>
      </c>
      <c r="M6" s="40" t="s">
        <v>14</v>
      </c>
      <c r="N6" s="40" t="s">
        <v>15</v>
      </c>
      <c r="O6" s="40" t="s">
        <v>16</v>
      </c>
      <c r="P6" s="40" t="s">
        <v>17</v>
      </c>
      <c r="Q6" s="40" t="s">
        <v>18</v>
      </c>
      <c r="R6" s="40" t="s">
        <v>19</v>
      </c>
      <c r="S6" s="40" t="s">
        <v>20</v>
      </c>
      <c r="T6" s="40" t="s">
        <v>21</v>
      </c>
      <c r="U6" s="40" t="s">
        <v>22</v>
      </c>
      <c r="V6" s="40" t="s">
        <v>23</v>
      </c>
      <c r="W6" s="40" t="s">
        <v>24</v>
      </c>
      <c r="X6" s="40" t="s">
        <v>25</v>
      </c>
      <c r="Y6" s="40" t="s">
        <v>26</v>
      </c>
      <c r="Z6" s="40" t="s">
        <v>27</v>
      </c>
      <c r="AA6" s="41" t="s">
        <v>28</v>
      </c>
      <c r="AB6" s="41" t="s">
        <v>29</v>
      </c>
      <c r="AC6" s="41" t="s">
        <v>30</v>
      </c>
      <c r="AD6" s="42" t="s">
        <v>31</v>
      </c>
      <c r="AE6" s="42" t="s">
        <v>32</v>
      </c>
      <c r="AF6" s="40" t="s">
        <v>33</v>
      </c>
      <c r="AG6" s="40" t="s">
        <v>34</v>
      </c>
      <c r="AH6" s="40" t="s">
        <v>35</v>
      </c>
      <c r="AI6" s="40" t="s">
        <v>36</v>
      </c>
      <c r="AJ6" s="40" t="s">
        <v>37</v>
      </c>
      <c r="AK6" s="40" t="s">
        <v>38</v>
      </c>
      <c r="AL6" s="43" t="s">
        <v>39</v>
      </c>
      <c r="AM6" s="40" t="s">
        <v>40</v>
      </c>
      <c r="AN6" s="40" t="s">
        <v>41</v>
      </c>
      <c r="AO6" s="40" t="s">
        <v>42</v>
      </c>
      <c r="AP6" s="40" t="s">
        <v>43</v>
      </c>
      <c r="AQ6" s="40" t="s">
        <v>44</v>
      </c>
      <c r="AR6" s="40" t="s">
        <v>45</v>
      </c>
      <c r="AS6" s="40" t="s">
        <v>46</v>
      </c>
      <c r="AT6" s="40" t="s">
        <v>47</v>
      </c>
      <c r="AU6" s="40" t="s">
        <v>48</v>
      </c>
      <c r="AV6" s="43" t="s">
        <v>49</v>
      </c>
      <c r="AW6" s="40" t="s">
        <v>50</v>
      </c>
      <c r="AX6" s="40" t="s">
        <v>51</v>
      </c>
      <c r="AY6" s="40" t="s">
        <v>52</v>
      </c>
      <c r="AZ6" s="40" t="s">
        <v>53</v>
      </c>
      <c r="BA6" s="40" t="s">
        <v>54</v>
      </c>
      <c r="BB6" s="40" t="s">
        <v>55</v>
      </c>
      <c r="BC6" s="40" t="s">
        <v>56</v>
      </c>
      <c r="BD6" s="43" t="s">
        <v>57</v>
      </c>
      <c r="BE6" s="43" t="s">
        <v>58</v>
      </c>
    </row>
    <row r="7" spans="1:57" x14ac:dyDescent="0.2">
      <c r="A7" s="30">
        <v>1</v>
      </c>
      <c r="B7" s="45" t="s">
        <v>59</v>
      </c>
      <c r="C7" s="45" t="s">
        <v>60</v>
      </c>
      <c r="D7" s="30" t="s">
        <v>61</v>
      </c>
      <c r="E7" s="30" t="s">
        <v>62</v>
      </c>
      <c r="F7" s="30" t="s">
        <v>63</v>
      </c>
      <c r="G7" s="45" t="s">
        <v>64</v>
      </c>
      <c r="H7" s="45" t="s">
        <v>59</v>
      </c>
      <c r="I7" s="45" t="s">
        <v>65</v>
      </c>
      <c r="J7" s="47">
        <v>31186</v>
      </c>
      <c r="K7" s="30" t="s">
        <v>66</v>
      </c>
      <c r="L7" s="45" t="s">
        <v>67</v>
      </c>
      <c r="M7" s="45" t="s">
        <v>68</v>
      </c>
      <c r="N7" s="45" t="s">
        <v>69</v>
      </c>
      <c r="O7" s="30" t="s">
        <v>70</v>
      </c>
      <c r="P7" s="30" t="s">
        <v>71</v>
      </c>
      <c r="Q7" s="45" t="s">
        <v>72</v>
      </c>
      <c r="R7" s="45" t="s">
        <v>73</v>
      </c>
      <c r="S7" s="30" t="s">
        <v>74</v>
      </c>
      <c r="T7" s="30"/>
      <c r="U7" s="47">
        <v>45969</v>
      </c>
      <c r="V7" s="30"/>
      <c r="W7" s="30"/>
      <c r="X7" s="31">
        <v>30</v>
      </c>
      <c r="Y7" s="30"/>
      <c r="Z7" s="30"/>
      <c r="AA7" s="30"/>
      <c r="AB7" s="30"/>
      <c r="AC7" s="31">
        <v>11</v>
      </c>
      <c r="AD7" s="32">
        <v>6750</v>
      </c>
      <c r="AE7" s="32">
        <v>113</v>
      </c>
      <c r="AF7" s="31">
        <v>6750</v>
      </c>
      <c r="AG7" s="31">
        <v>113</v>
      </c>
      <c r="AH7" s="30"/>
      <c r="AI7" s="30"/>
      <c r="AJ7" s="31">
        <v>629.12</v>
      </c>
      <c r="AK7" s="30"/>
      <c r="AL7" s="33">
        <v>7492.12</v>
      </c>
      <c r="AM7" s="31">
        <v>2745.2</v>
      </c>
      <c r="AN7" s="31">
        <v>973.98</v>
      </c>
      <c r="AO7" s="31">
        <v>648.85</v>
      </c>
      <c r="AP7" s="30"/>
      <c r="AQ7" s="30"/>
      <c r="AR7" s="30"/>
      <c r="AS7" s="30"/>
      <c r="AT7" s="30"/>
      <c r="AU7" s="31">
        <v>37.46</v>
      </c>
      <c r="AV7" s="33">
        <v>4405.49</v>
      </c>
      <c r="AW7" s="31">
        <v>505.72</v>
      </c>
      <c r="AX7" s="31">
        <v>168.57</v>
      </c>
      <c r="AY7" s="31">
        <v>52.44</v>
      </c>
      <c r="AZ7" s="31">
        <v>37.46</v>
      </c>
      <c r="BA7" s="31">
        <v>56.19</v>
      </c>
      <c r="BB7" s="31">
        <v>12.74</v>
      </c>
      <c r="BC7" s="30"/>
      <c r="BD7" s="33">
        <v>833.12</v>
      </c>
      <c r="BE7" s="33">
        <v>3086.63</v>
      </c>
    </row>
    <row r="8" spans="1:57" x14ac:dyDescent="0.2">
      <c r="A8" s="30">
        <v>2</v>
      </c>
      <c r="B8" s="45" t="s">
        <v>75</v>
      </c>
      <c r="C8" s="45" t="s">
        <v>76</v>
      </c>
      <c r="D8" s="30" t="s">
        <v>77</v>
      </c>
      <c r="E8" s="30" t="s">
        <v>78</v>
      </c>
      <c r="F8" s="30" t="s">
        <v>79</v>
      </c>
      <c r="G8" s="45" t="s">
        <v>64</v>
      </c>
      <c r="H8" s="45" t="s">
        <v>75</v>
      </c>
      <c r="I8" s="45" t="s">
        <v>65</v>
      </c>
      <c r="J8" s="47">
        <v>30469</v>
      </c>
      <c r="K8" s="30" t="s">
        <v>66</v>
      </c>
      <c r="L8" s="45" t="s">
        <v>67</v>
      </c>
      <c r="M8" s="45" t="s">
        <v>68</v>
      </c>
      <c r="N8" s="45" t="s">
        <v>69</v>
      </c>
      <c r="O8" s="30" t="s">
        <v>70</v>
      </c>
      <c r="P8" s="30" t="s">
        <v>80</v>
      </c>
      <c r="Q8" s="45" t="s">
        <v>81</v>
      </c>
      <c r="R8" s="45" t="s">
        <v>82</v>
      </c>
      <c r="S8" s="30" t="s">
        <v>83</v>
      </c>
      <c r="T8" s="30" t="s">
        <v>84</v>
      </c>
      <c r="U8" s="47">
        <v>45964</v>
      </c>
      <c r="V8" s="30"/>
      <c r="W8" s="30"/>
      <c r="X8" s="31">
        <v>30</v>
      </c>
      <c r="Y8" s="30"/>
      <c r="Z8" s="30"/>
      <c r="AA8" s="30"/>
      <c r="AB8" s="30"/>
      <c r="AC8" s="31">
        <v>11</v>
      </c>
      <c r="AD8" s="32">
        <v>6750</v>
      </c>
      <c r="AE8" s="32">
        <v>113</v>
      </c>
      <c r="AF8" s="31">
        <v>6750</v>
      </c>
      <c r="AG8" s="31">
        <v>113</v>
      </c>
      <c r="AH8" s="30"/>
      <c r="AI8" s="30"/>
      <c r="AJ8" s="31">
        <v>629.12</v>
      </c>
      <c r="AK8" s="30"/>
      <c r="AL8" s="33">
        <v>7492.12</v>
      </c>
      <c r="AM8" s="31">
        <v>2745.2</v>
      </c>
      <c r="AN8" s="30"/>
      <c r="AO8" s="31">
        <v>648.85</v>
      </c>
      <c r="AP8" s="30"/>
      <c r="AQ8" s="31">
        <v>749.21</v>
      </c>
      <c r="AR8" s="30"/>
      <c r="AS8" s="31">
        <v>102.64</v>
      </c>
      <c r="AT8" s="31">
        <v>149.84</v>
      </c>
      <c r="AU8" s="31">
        <v>37.46</v>
      </c>
      <c r="AV8" s="33">
        <v>4433.2</v>
      </c>
      <c r="AW8" s="31">
        <v>505.72</v>
      </c>
      <c r="AX8" s="31">
        <v>168.57</v>
      </c>
      <c r="AY8" s="31">
        <v>52.44</v>
      </c>
      <c r="AZ8" s="31">
        <v>37.46</v>
      </c>
      <c r="BA8" s="31">
        <v>56.19</v>
      </c>
      <c r="BB8" s="31">
        <v>12.74</v>
      </c>
      <c r="BC8" s="31">
        <v>149.84</v>
      </c>
      <c r="BD8" s="33">
        <v>982.96</v>
      </c>
      <c r="BE8" s="33">
        <v>3058.92</v>
      </c>
    </row>
    <row r="9" spans="1:57" x14ac:dyDescent="0.2">
      <c r="A9" s="30">
        <v>3</v>
      </c>
      <c r="B9" s="45" t="s">
        <v>85</v>
      </c>
      <c r="C9" s="45" t="s">
        <v>86</v>
      </c>
      <c r="D9" s="30" t="s">
        <v>87</v>
      </c>
      <c r="E9" s="30" t="s">
        <v>88</v>
      </c>
      <c r="F9" s="30" t="s">
        <v>89</v>
      </c>
      <c r="G9" s="45" t="s">
        <v>64</v>
      </c>
      <c r="H9" s="45" t="s">
        <v>85</v>
      </c>
      <c r="I9" s="45" t="s">
        <v>65</v>
      </c>
      <c r="J9" s="47">
        <v>30787</v>
      </c>
      <c r="K9" s="30" t="s">
        <v>90</v>
      </c>
      <c r="L9" s="45" t="s">
        <v>67</v>
      </c>
      <c r="M9" s="45" t="s">
        <v>68</v>
      </c>
      <c r="N9" s="45" t="s">
        <v>69</v>
      </c>
      <c r="O9" s="30" t="s">
        <v>70</v>
      </c>
      <c r="P9" s="30" t="s">
        <v>91</v>
      </c>
      <c r="Q9" s="45" t="s">
        <v>81</v>
      </c>
      <c r="R9" s="45" t="s">
        <v>92</v>
      </c>
      <c r="S9" s="30" t="s">
        <v>83</v>
      </c>
      <c r="T9" s="30" t="s">
        <v>93</v>
      </c>
      <c r="U9" s="47">
        <v>45957</v>
      </c>
      <c r="V9" s="30"/>
      <c r="W9" s="30"/>
      <c r="X9" s="31">
        <v>30</v>
      </c>
      <c r="Y9" s="30"/>
      <c r="Z9" s="30"/>
      <c r="AA9" s="30"/>
      <c r="AB9" s="30"/>
      <c r="AC9" s="31">
        <v>11</v>
      </c>
      <c r="AD9" s="32">
        <v>3400</v>
      </c>
      <c r="AE9" s="32">
        <v>113</v>
      </c>
      <c r="AF9" s="31">
        <v>3400</v>
      </c>
      <c r="AG9" s="31">
        <v>113</v>
      </c>
      <c r="AH9" s="30"/>
      <c r="AI9" s="30"/>
      <c r="AJ9" s="31">
        <v>322.02999999999997</v>
      </c>
      <c r="AK9" s="30"/>
      <c r="AL9" s="33">
        <v>3835.03</v>
      </c>
      <c r="AM9" s="31">
        <v>1405.2</v>
      </c>
      <c r="AN9" s="30"/>
      <c r="AO9" s="31">
        <v>115.3</v>
      </c>
      <c r="AP9" s="30"/>
      <c r="AQ9" s="31">
        <v>383.5</v>
      </c>
      <c r="AR9" s="30"/>
      <c r="AS9" s="31">
        <v>52.54</v>
      </c>
      <c r="AT9" s="31">
        <v>76.7</v>
      </c>
      <c r="AU9" s="31">
        <v>19.18</v>
      </c>
      <c r="AV9" s="33">
        <v>2052.42</v>
      </c>
      <c r="AW9" s="31">
        <v>345.15</v>
      </c>
      <c r="AX9" s="30"/>
      <c r="AY9" s="31">
        <v>26.85</v>
      </c>
      <c r="AZ9" s="31">
        <v>19.18</v>
      </c>
      <c r="BA9" s="31">
        <v>28.76</v>
      </c>
      <c r="BB9" s="31">
        <v>6.52</v>
      </c>
      <c r="BC9" s="31">
        <v>76.7</v>
      </c>
      <c r="BD9" s="33">
        <v>503.16</v>
      </c>
      <c r="BE9" s="33">
        <v>1782.61</v>
      </c>
    </row>
    <row r="10" spans="1:57" x14ac:dyDescent="0.2">
      <c r="A10" s="30">
        <v>4</v>
      </c>
      <c r="B10" s="45" t="s">
        <v>94</v>
      </c>
      <c r="C10" s="45" t="s">
        <v>95</v>
      </c>
      <c r="D10" s="30" t="s">
        <v>96</v>
      </c>
      <c r="E10" s="30" t="s">
        <v>97</v>
      </c>
      <c r="F10" s="30" t="s">
        <v>98</v>
      </c>
      <c r="G10" s="45" t="s">
        <v>64</v>
      </c>
      <c r="H10" s="45" t="s">
        <v>94</v>
      </c>
      <c r="I10" s="45" t="s">
        <v>65</v>
      </c>
      <c r="J10" s="47">
        <v>32078</v>
      </c>
      <c r="K10" s="30" t="s">
        <v>99</v>
      </c>
      <c r="L10" s="45" t="s">
        <v>67</v>
      </c>
      <c r="M10" s="45" t="s">
        <v>68</v>
      </c>
      <c r="N10" s="45" t="s">
        <v>69</v>
      </c>
      <c r="O10" s="30" t="s">
        <v>70</v>
      </c>
      <c r="P10" s="30" t="s">
        <v>91</v>
      </c>
      <c r="Q10" s="45" t="s">
        <v>81</v>
      </c>
      <c r="R10" s="45" t="s">
        <v>100</v>
      </c>
      <c r="S10" s="30" t="s">
        <v>101</v>
      </c>
      <c r="T10" s="30" t="s">
        <v>102</v>
      </c>
      <c r="U10" s="47">
        <v>45974</v>
      </c>
      <c r="V10" s="30"/>
      <c r="W10" s="30"/>
      <c r="X10" s="31">
        <v>29</v>
      </c>
      <c r="Y10" s="31">
        <v>1</v>
      </c>
      <c r="Z10" s="30"/>
      <c r="AA10" s="30"/>
      <c r="AB10" s="30"/>
      <c r="AC10" s="31">
        <v>11</v>
      </c>
      <c r="AD10" s="32">
        <v>6500</v>
      </c>
      <c r="AE10" s="34"/>
      <c r="AF10" s="31">
        <v>6283.33</v>
      </c>
      <c r="AG10" s="30"/>
      <c r="AH10" s="30"/>
      <c r="AI10" s="30"/>
      <c r="AJ10" s="31">
        <v>595.84</v>
      </c>
      <c r="AK10" s="31">
        <v>216.67</v>
      </c>
      <c r="AL10" s="33">
        <v>7095.84</v>
      </c>
      <c r="AM10" s="31">
        <v>2600</v>
      </c>
      <c r="AN10" s="30"/>
      <c r="AO10" s="31">
        <v>594.57000000000005</v>
      </c>
      <c r="AP10" s="30"/>
      <c r="AQ10" s="31">
        <v>709.58</v>
      </c>
      <c r="AR10" s="30"/>
      <c r="AS10" s="31">
        <v>97.21</v>
      </c>
      <c r="AT10" s="31">
        <v>141.91999999999999</v>
      </c>
      <c r="AU10" s="31">
        <v>35.479999999999997</v>
      </c>
      <c r="AV10" s="33">
        <v>4178.76</v>
      </c>
      <c r="AW10" s="31">
        <v>478.97</v>
      </c>
      <c r="AX10" s="31">
        <v>159.66</v>
      </c>
      <c r="AY10" s="31">
        <v>49.67</v>
      </c>
      <c r="AZ10" s="31">
        <v>35.479999999999997</v>
      </c>
      <c r="BA10" s="31">
        <v>53.22</v>
      </c>
      <c r="BB10" s="31">
        <v>12.06</v>
      </c>
      <c r="BC10" s="31">
        <v>141.91999999999999</v>
      </c>
      <c r="BD10" s="33">
        <v>930.98</v>
      </c>
      <c r="BE10" s="33">
        <v>2917.08</v>
      </c>
    </row>
    <row r="11" spans="1:57" x14ac:dyDescent="0.2">
      <c r="A11" s="30">
        <v>5</v>
      </c>
      <c r="B11" s="45" t="s">
        <v>103</v>
      </c>
      <c r="C11" s="45" t="s">
        <v>104</v>
      </c>
      <c r="D11" s="30" t="s">
        <v>105</v>
      </c>
      <c r="E11" s="30" t="s">
        <v>106</v>
      </c>
      <c r="F11" s="30" t="s">
        <v>107</v>
      </c>
      <c r="G11" s="45" t="s">
        <v>64</v>
      </c>
      <c r="H11" s="45" t="s">
        <v>103</v>
      </c>
      <c r="I11" s="45" t="s">
        <v>65</v>
      </c>
      <c r="J11" s="47">
        <v>34171</v>
      </c>
      <c r="K11" s="30" t="s">
        <v>108</v>
      </c>
      <c r="L11" s="45" t="s">
        <v>67</v>
      </c>
      <c r="M11" s="45" t="s">
        <v>68</v>
      </c>
      <c r="N11" s="45" t="s">
        <v>69</v>
      </c>
      <c r="O11" s="30" t="s">
        <v>70</v>
      </c>
      <c r="P11" s="30" t="s">
        <v>91</v>
      </c>
      <c r="Q11" s="45" t="s">
        <v>81</v>
      </c>
      <c r="R11" s="45" t="s">
        <v>109</v>
      </c>
      <c r="S11" s="30" t="s">
        <v>101</v>
      </c>
      <c r="T11" s="30" t="s">
        <v>110</v>
      </c>
      <c r="U11" s="47">
        <v>45957</v>
      </c>
      <c r="V11" s="30"/>
      <c r="W11" s="30"/>
      <c r="X11" s="31">
        <v>23</v>
      </c>
      <c r="Y11" s="30"/>
      <c r="Z11" s="31">
        <v>7</v>
      </c>
      <c r="AA11" s="30"/>
      <c r="AB11" s="30"/>
      <c r="AC11" s="31">
        <v>11</v>
      </c>
      <c r="AD11" s="32">
        <v>3450</v>
      </c>
      <c r="AE11" s="34"/>
      <c r="AF11" s="31">
        <v>2645</v>
      </c>
      <c r="AG11" s="30"/>
      <c r="AH11" s="30"/>
      <c r="AI11" s="30"/>
      <c r="AJ11" s="31">
        <v>316.25</v>
      </c>
      <c r="AK11" s="30"/>
      <c r="AL11" s="33">
        <v>2961.25</v>
      </c>
      <c r="AM11" s="31">
        <v>1380</v>
      </c>
      <c r="AN11" s="30"/>
      <c r="AO11" s="31">
        <v>94</v>
      </c>
      <c r="AP11" s="30"/>
      <c r="AQ11" s="31">
        <v>296.13</v>
      </c>
      <c r="AR11" s="30"/>
      <c r="AS11" s="31">
        <v>40.57</v>
      </c>
      <c r="AT11" s="31">
        <v>59.23</v>
      </c>
      <c r="AU11" s="31">
        <v>14.81</v>
      </c>
      <c r="AV11" s="33">
        <v>1884.74</v>
      </c>
      <c r="AW11" s="31">
        <v>266.51</v>
      </c>
      <c r="AX11" s="30"/>
      <c r="AY11" s="31">
        <v>20.73</v>
      </c>
      <c r="AZ11" s="31">
        <v>14.81</v>
      </c>
      <c r="BA11" s="31">
        <v>22.21</v>
      </c>
      <c r="BB11" s="31">
        <v>3.26</v>
      </c>
      <c r="BC11" s="31">
        <v>59.23</v>
      </c>
      <c r="BD11" s="33">
        <v>386.75</v>
      </c>
      <c r="BE11" s="33">
        <v>1076.51</v>
      </c>
    </row>
    <row r="12" spans="1:57" x14ac:dyDescent="0.2">
      <c r="A12" s="30">
        <v>6</v>
      </c>
      <c r="B12" s="45" t="s">
        <v>111</v>
      </c>
      <c r="C12" s="45" t="s">
        <v>112</v>
      </c>
      <c r="D12" s="30" t="s">
        <v>113</v>
      </c>
      <c r="E12" s="30" t="s">
        <v>114</v>
      </c>
      <c r="F12" s="30" t="s">
        <v>115</v>
      </c>
      <c r="G12" s="45" t="s">
        <v>64</v>
      </c>
      <c r="H12" s="45" t="s">
        <v>111</v>
      </c>
      <c r="I12" s="45" t="s">
        <v>65</v>
      </c>
      <c r="J12" s="47">
        <v>30182</v>
      </c>
      <c r="K12" s="30" t="s">
        <v>116</v>
      </c>
      <c r="L12" s="45" t="s">
        <v>67</v>
      </c>
      <c r="M12" s="45" t="s">
        <v>68</v>
      </c>
      <c r="N12" s="45" t="s">
        <v>69</v>
      </c>
      <c r="O12" s="30" t="s">
        <v>70</v>
      </c>
      <c r="P12" s="30" t="s">
        <v>71</v>
      </c>
      <c r="Q12" s="45" t="s">
        <v>72</v>
      </c>
      <c r="R12" s="45" t="s">
        <v>117</v>
      </c>
      <c r="S12" s="30" t="s">
        <v>83</v>
      </c>
      <c r="T12" s="30" t="s">
        <v>118</v>
      </c>
      <c r="U12" s="47">
        <v>45957</v>
      </c>
      <c r="V12" s="30"/>
      <c r="W12" s="30"/>
      <c r="X12" s="31">
        <v>30</v>
      </c>
      <c r="Y12" s="30"/>
      <c r="Z12" s="30"/>
      <c r="AA12" s="30"/>
      <c r="AB12" s="30"/>
      <c r="AC12" s="31">
        <v>22</v>
      </c>
      <c r="AD12" s="32">
        <v>3450</v>
      </c>
      <c r="AE12" s="32">
        <v>113</v>
      </c>
      <c r="AF12" s="31">
        <v>3450</v>
      </c>
      <c r="AG12" s="31">
        <v>113</v>
      </c>
      <c r="AH12" s="30"/>
      <c r="AI12" s="30"/>
      <c r="AJ12" s="31">
        <v>653.24</v>
      </c>
      <c r="AK12" s="30"/>
      <c r="AL12" s="33">
        <v>4216.24</v>
      </c>
      <c r="AM12" s="31">
        <v>1425.2</v>
      </c>
      <c r="AN12" s="30"/>
      <c r="AO12" s="31">
        <v>110.6</v>
      </c>
      <c r="AP12" s="30"/>
      <c r="AQ12" s="31">
        <v>421.62</v>
      </c>
      <c r="AR12" s="30"/>
      <c r="AS12" s="31">
        <v>57.76</v>
      </c>
      <c r="AT12" s="31">
        <v>84.32</v>
      </c>
      <c r="AU12" s="31">
        <v>21.08</v>
      </c>
      <c r="AV12" s="33">
        <v>2120.58</v>
      </c>
      <c r="AW12" s="31">
        <v>379.46</v>
      </c>
      <c r="AX12" s="30"/>
      <c r="AY12" s="31">
        <v>29.51</v>
      </c>
      <c r="AZ12" s="31">
        <v>21.08</v>
      </c>
      <c r="BA12" s="31">
        <v>31.62</v>
      </c>
      <c r="BB12" s="31">
        <v>7.17</v>
      </c>
      <c r="BC12" s="31">
        <v>84.32</v>
      </c>
      <c r="BD12" s="33">
        <v>553.16</v>
      </c>
      <c r="BE12" s="33">
        <v>2095.66</v>
      </c>
    </row>
    <row r="13" spans="1:57" x14ac:dyDescent="0.2">
      <c r="A13" s="30">
        <v>7</v>
      </c>
      <c r="B13" s="45" t="s">
        <v>119</v>
      </c>
      <c r="C13" s="45" t="s">
        <v>120</v>
      </c>
      <c r="D13" s="30" t="s">
        <v>121</v>
      </c>
      <c r="E13" s="30" t="s">
        <v>122</v>
      </c>
      <c r="F13" s="30" t="s">
        <v>123</v>
      </c>
      <c r="G13" s="45" t="s">
        <v>64</v>
      </c>
      <c r="H13" s="45" t="s">
        <v>119</v>
      </c>
      <c r="I13" s="45" t="s">
        <v>65</v>
      </c>
      <c r="J13" s="47">
        <v>26238</v>
      </c>
      <c r="K13" s="30" t="s">
        <v>124</v>
      </c>
      <c r="L13" s="45" t="s">
        <v>67</v>
      </c>
      <c r="M13" s="45" t="s">
        <v>68</v>
      </c>
      <c r="N13" s="45" t="s">
        <v>69</v>
      </c>
      <c r="O13" s="30" t="s">
        <v>70</v>
      </c>
      <c r="P13" s="30" t="s">
        <v>125</v>
      </c>
      <c r="Q13" s="45" t="s">
        <v>81</v>
      </c>
      <c r="R13" s="45" t="s">
        <v>126</v>
      </c>
      <c r="S13" s="30" t="s">
        <v>127</v>
      </c>
      <c r="T13" s="30" t="s">
        <v>128</v>
      </c>
      <c r="U13" s="47">
        <v>45969</v>
      </c>
      <c r="V13" s="30"/>
      <c r="W13" s="30"/>
      <c r="X13" s="31">
        <v>30</v>
      </c>
      <c r="Y13" s="30"/>
      <c r="Z13" s="30"/>
      <c r="AA13" s="30"/>
      <c r="AB13" s="30"/>
      <c r="AC13" s="30"/>
      <c r="AD13" s="32">
        <v>20000</v>
      </c>
      <c r="AE13" s="32">
        <v>113</v>
      </c>
      <c r="AF13" s="31">
        <v>20000</v>
      </c>
      <c r="AG13" s="31">
        <v>113</v>
      </c>
      <c r="AH13" s="30"/>
      <c r="AI13" s="30"/>
      <c r="AJ13" s="30"/>
      <c r="AK13" s="30"/>
      <c r="AL13" s="33">
        <v>20113</v>
      </c>
      <c r="AM13" s="31">
        <v>8045.2</v>
      </c>
      <c r="AN13" s="30"/>
      <c r="AO13" s="31">
        <v>3202.87</v>
      </c>
      <c r="AP13" s="31">
        <v>114</v>
      </c>
      <c r="AQ13" s="31">
        <v>2011.3</v>
      </c>
      <c r="AR13" s="31">
        <v>295.66000000000003</v>
      </c>
      <c r="AS13" s="31">
        <v>167.26</v>
      </c>
      <c r="AT13" s="31">
        <v>402.26</v>
      </c>
      <c r="AU13" s="31">
        <v>100.57</v>
      </c>
      <c r="AV13" s="33">
        <v>14339.12</v>
      </c>
      <c r="AW13" s="31">
        <v>1357.63</v>
      </c>
      <c r="AX13" s="31">
        <v>452.54</v>
      </c>
      <c r="AY13" s="31">
        <v>85.46</v>
      </c>
      <c r="AZ13" s="31">
        <v>100.57</v>
      </c>
      <c r="BA13" s="31">
        <v>150.85</v>
      </c>
      <c r="BB13" s="31">
        <v>34.19</v>
      </c>
      <c r="BC13" s="31">
        <v>402.26</v>
      </c>
      <c r="BD13" s="33">
        <v>2583.5</v>
      </c>
      <c r="BE13" s="33">
        <v>5773.88</v>
      </c>
    </row>
    <row r="14" spans="1:57" x14ac:dyDescent="0.2">
      <c r="A14" s="30">
        <v>8</v>
      </c>
      <c r="B14" s="45" t="s">
        <v>129</v>
      </c>
      <c r="C14" s="45" t="s">
        <v>130</v>
      </c>
      <c r="D14" s="30" t="s">
        <v>131</v>
      </c>
      <c r="E14" s="30" t="s">
        <v>132</v>
      </c>
      <c r="F14" s="30" t="s">
        <v>133</v>
      </c>
      <c r="G14" s="45" t="s">
        <v>64</v>
      </c>
      <c r="H14" s="45" t="s">
        <v>129</v>
      </c>
      <c r="I14" s="45" t="s">
        <v>65</v>
      </c>
      <c r="J14" s="47">
        <v>34162</v>
      </c>
      <c r="K14" s="30" t="s">
        <v>116</v>
      </c>
      <c r="L14" s="45" t="s">
        <v>67</v>
      </c>
      <c r="M14" s="45" t="s">
        <v>68</v>
      </c>
      <c r="N14" s="45" t="s">
        <v>69</v>
      </c>
      <c r="O14" s="30" t="s">
        <v>70</v>
      </c>
      <c r="P14" s="30" t="s">
        <v>91</v>
      </c>
      <c r="Q14" s="45" t="s">
        <v>81</v>
      </c>
      <c r="R14" s="45" t="s">
        <v>134</v>
      </c>
      <c r="S14" s="30" t="s">
        <v>101</v>
      </c>
      <c r="T14" s="30" t="s">
        <v>135</v>
      </c>
      <c r="U14" s="47">
        <v>45957</v>
      </c>
      <c r="V14" s="30"/>
      <c r="W14" s="30"/>
      <c r="X14" s="31">
        <v>30</v>
      </c>
      <c r="Y14" s="30"/>
      <c r="Z14" s="30"/>
      <c r="AA14" s="30"/>
      <c r="AB14" s="30"/>
      <c r="AC14" s="31">
        <v>11</v>
      </c>
      <c r="AD14" s="32">
        <v>3450</v>
      </c>
      <c r="AE14" s="32">
        <v>113</v>
      </c>
      <c r="AF14" s="31">
        <v>3450</v>
      </c>
      <c r="AG14" s="31">
        <v>113</v>
      </c>
      <c r="AH14" s="30"/>
      <c r="AI14" s="30"/>
      <c r="AJ14" s="31">
        <v>326.62</v>
      </c>
      <c r="AK14" s="30"/>
      <c r="AL14" s="33">
        <v>3889.62</v>
      </c>
      <c r="AM14" s="31">
        <v>1425.2</v>
      </c>
      <c r="AN14" s="30"/>
      <c r="AO14" s="31">
        <v>91.9</v>
      </c>
      <c r="AP14" s="30"/>
      <c r="AQ14" s="31">
        <v>388.96</v>
      </c>
      <c r="AR14" s="30"/>
      <c r="AS14" s="31">
        <v>53.29</v>
      </c>
      <c r="AT14" s="31">
        <v>77.790000000000006</v>
      </c>
      <c r="AU14" s="31">
        <v>19.45</v>
      </c>
      <c r="AV14" s="33">
        <v>2056.59</v>
      </c>
      <c r="AW14" s="31">
        <v>350.07</v>
      </c>
      <c r="AX14" s="30"/>
      <c r="AY14" s="31">
        <v>27.23</v>
      </c>
      <c r="AZ14" s="31">
        <v>19.45</v>
      </c>
      <c r="BA14" s="31">
        <v>29.17</v>
      </c>
      <c r="BB14" s="31">
        <v>4.28</v>
      </c>
      <c r="BC14" s="31">
        <v>77.790000000000006</v>
      </c>
      <c r="BD14" s="33">
        <v>507.99</v>
      </c>
      <c r="BE14" s="33">
        <v>1833.03</v>
      </c>
    </row>
    <row r="15" spans="1:57" x14ac:dyDescent="0.2">
      <c r="A15" s="30">
        <v>9</v>
      </c>
      <c r="B15" s="45" t="s">
        <v>136</v>
      </c>
      <c r="C15" s="45" t="s">
        <v>137</v>
      </c>
      <c r="D15" s="30" t="s">
        <v>131</v>
      </c>
      <c r="E15" s="30" t="s">
        <v>131</v>
      </c>
      <c r="F15" s="30" t="s">
        <v>138</v>
      </c>
      <c r="G15" s="45" t="s">
        <v>64</v>
      </c>
      <c r="H15" s="45" t="s">
        <v>136</v>
      </c>
      <c r="I15" s="45" t="s">
        <v>65</v>
      </c>
      <c r="J15" s="47">
        <v>29347</v>
      </c>
      <c r="K15" s="30" t="s">
        <v>139</v>
      </c>
      <c r="L15" s="45" t="s">
        <v>67</v>
      </c>
      <c r="M15" s="45" t="s">
        <v>68</v>
      </c>
      <c r="N15" s="45" t="s">
        <v>69</v>
      </c>
      <c r="O15" s="30" t="s">
        <v>70</v>
      </c>
      <c r="P15" s="30" t="s">
        <v>91</v>
      </c>
      <c r="Q15" s="45" t="s">
        <v>81</v>
      </c>
      <c r="R15" s="45" t="s">
        <v>140</v>
      </c>
      <c r="S15" s="30" t="s">
        <v>74</v>
      </c>
      <c r="T15" s="30"/>
      <c r="U15" s="47">
        <v>45957</v>
      </c>
      <c r="V15" s="30"/>
      <c r="W15" s="30"/>
      <c r="X15" s="31">
        <v>30</v>
      </c>
      <c r="Y15" s="30"/>
      <c r="Z15" s="30"/>
      <c r="AA15" s="30"/>
      <c r="AB15" s="30"/>
      <c r="AC15" s="31">
        <v>11</v>
      </c>
      <c r="AD15" s="32">
        <v>3500</v>
      </c>
      <c r="AE15" s="32">
        <v>113</v>
      </c>
      <c r="AF15" s="31">
        <v>3500</v>
      </c>
      <c r="AG15" s="31">
        <v>113</v>
      </c>
      <c r="AH15" s="30"/>
      <c r="AI15" s="30"/>
      <c r="AJ15" s="31">
        <v>331.18</v>
      </c>
      <c r="AK15" s="30"/>
      <c r="AL15" s="33">
        <v>3944.18</v>
      </c>
      <c r="AM15" s="31">
        <v>1445.2</v>
      </c>
      <c r="AN15" s="31">
        <v>512.74</v>
      </c>
      <c r="AO15" s="31">
        <v>125.89</v>
      </c>
      <c r="AP15" s="30"/>
      <c r="AQ15" s="30"/>
      <c r="AR15" s="30"/>
      <c r="AS15" s="30"/>
      <c r="AT15" s="30"/>
      <c r="AU15" s="31">
        <v>19.72</v>
      </c>
      <c r="AV15" s="33">
        <v>2103.5500000000002</v>
      </c>
      <c r="AW15" s="31">
        <v>354.98</v>
      </c>
      <c r="AX15" s="30"/>
      <c r="AY15" s="31">
        <v>27.61</v>
      </c>
      <c r="AZ15" s="31">
        <v>19.72</v>
      </c>
      <c r="BA15" s="31">
        <v>29.58</v>
      </c>
      <c r="BB15" s="31">
        <v>6.71</v>
      </c>
      <c r="BC15" s="30"/>
      <c r="BD15" s="33">
        <v>438.6</v>
      </c>
      <c r="BE15" s="33">
        <v>1840.63</v>
      </c>
    </row>
    <row r="16" spans="1:57" x14ac:dyDescent="0.2">
      <c r="A16" s="30">
        <v>10</v>
      </c>
      <c r="B16" s="45" t="s">
        <v>141</v>
      </c>
      <c r="C16" s="45" t="s">
        <v>142</v>
      </c>
      <c r="D16" s="30" t="s">
        <v>143</v>
      </c>
      <c r="E16" s="30" t="s">
        <v>144</v>
      </c>
      <c r="F16" s="30" t="s">
        <v>145</v>
      </c>
      <c r="G16" s="45" t="s">
        <v>64</v>
      </c>
      <c r="H16" s="45" t="s">
        <v>141</v>
      </c>
      <c r="I16" s="45" t="s">
        <v>65</v>
      </c>
      <c r="J16" s="47">
        <v>29704</v>
      </c>
      <c r="K16" s="30" t="s">
        <v>146</v>
      </c>
      <c r="L16" s="45" t="s">
        <v>67</v>
      </c>
      <c r="M16" s="45" t="s">
        <v>68</v>
      </c>
      <c r="N16" s="45" t="s">
        <v>69</v>
      </c>
      <c r="O16" s="30" t="s">
        <v>70</v>
      </c>
      <c r="P16" s="30" t="s">
        <v>91</v>
      </c>
      <c r="Q16" s="45" t="s">
        <v>81</v>
      </c>
      <c r="R16" s="45" t="s">
        <v>147</v>
      </c>
      <c r="S16" s="30" t="s">
        <v>101</v>
      </c>
      <c r="T16" s="30" t="s">
        <v>148</v>
      </c>
      <c r="U16" s="47">
        <v>45988</v>
      </c>
      <c r="V16" s="30"/>
      <c r="W16" s="30"/>
      <c r="X16" s="31">
        <v>30</v>
      </c>
      <c r="Y16" s="30"/>
      <c r="Z16" s="30"/>
      <c r="AA16" s="30"/>
      <c r="AB16" s="30"/>
      <c r="AC16" s="31">
        <v>11</v>
      </c>
      <c r="AD16" s="32">
        <v>6500</v>
      </c>
      <c r="AE16" s="32">
        <v>113</v>
      </c>
      <c r="AF16" s="31">
        <v>6500</v>
      </c>
      <c r="AG16" s="31">
        <v>113</v>
      </c>
      <c r="AH16" s="30"/>
      <c r="AI16" s="30"/>
      <c r="AJ16" s="31">
        <v>606.17999999999995</v>
      </c>
      <c r="AK16" s="30"/>
      <c r="AL16" s="33">
        <v>7219.18</v>
      </c>
      <c r="AM16" s="31">
        <v>2645.2</v>
      </c>
      <c r="AN16" s="30"/>
      <c r="AO16" s="31">
        <v>634.79999999999995</v>
      </c>
      <c r="AP16" s="30"/>
      <c r="AQ16" s="31">
        <v>721.92</v>
      </c>
      <c r="AR16" s="30"/>
      <c r="AS16" s="31">
        <v>98.9</v>
      </c>
      <c r="AT16" s="31">
        <v>144.38</v>
      </c>
      <c r="AU16" s="31">
        <v>36.1</v>
      </c>
      <c r="AV16" s="33">
        <v>4281.3</v>
      </c>
      <c r="AW16" s="31">
        <v>487.29</v>
      </c>
      <c r="AX16" s="31">
        <v>162.43</v>
      </c>
      <c r="AY16" s="31">
        <v>50.53</v>
      </c>
      <c r="AZ16" s="31">
        <v>36.1</v>
      </c>
      <c r="BA16" s="31">
        <v>54.14</v>
      </c>
      <c r="BB16" s="31">
        <v>12.27</v>
      </c>
      <c r="BC16" s="31">
        <v>144.38</v>
      </c>
      <c r="BD16" s="33">
        <v>947.14</v>
      </c>
      <c r="BE16" s="33">
        <v>2937.88</v>
      </c>
    </row>
    <row r="17" spans="1:57" x14ac:dyDescent="0.2">
      <c r="A17" s="30">
        <v>11</v>
      </c>
      <c r="B17" s="45" t="s">
        <v>149</v>
      </c>
      <c r="C17" s="45" t="s">
        <v>150</v>
      </c>
      <c r="D17" s="30" t="s">
        <v>151</v>
      </c>
      <c r="E17" s="30" t="s">
        <v>152</v>
      </c>
      <c r="F17" s="30" t="s">
        <v>153</v>
      </c>
      <c r="G17" s="45" t="s">
        <v>64</v>
      </c>
      <c r="H17" s="45" t="s">
        <v>149</v>
      </c>
      <c r="I17" s="45" t="s">
        <v>65</v>
      </c>
      <c r="J17" s="47">
        <v>32518</v>
      </c>
      <c r="K17" s="30" t="s">
        <v>154</v>
      </c>
      <c r="L17" s="45" t="s">
        <v>67</v>
      </c>
      <c r="M17" s="45" t="s">
        <v>68</v>
      </c>
      <c r="N17" s="45" t="s">
        <v>69</v>
      </c>
      <c r="O17" s="30" t="s">
        <v>70</v>
      </c>
      <c r="P17" s="30" t="s">
        <v>71</v>
      </c>
      <c r="Q17" s="45" t="s">
        <v>72</v>
      </c>
      <c r="R17" s="45" t="s">
        <v>155</v>
      </c>
      <c r="S17" s="30" t="s">
        <v>74</v>
      </c>
      <c r="T17" s="30"/>
      <c r="U17" s="47">
        <v>45974</v>
      </c>
      <c r="V17" s="30"/>
      <c r="W17" s="30"/>
      <c r="X17" s="31">
        <v>30</v>
      </c>
      <c r="Y17" s="30"/>
      <c r="Z17" s="30"/>
      <c r="AA17" s="30"/>
      <c r="AB17" s="30"/>
      <c r="AC17" s="31">
        <v>11</v>
      </c>
      <c r="AD17" s="32">
        <v>3500</v>
      </c>
      <c r="AE17" s="32">
        <v>113</v>
      </c>
      <c r="AF17" s="31">
        <v>3500</v>
      </c>
      <c r="AG17" s="31">
        <v>113</v>
      </c>
      <c r="AH17" s="30"/>
      <c r="AI17" s="30"/>
      <c r="AJ17" s="31">
        <v>331.18</v>
      </c>
      <c r="AK17" s="30"/>
      <c r="AL17" s="33">
        <v>3944.18</v>
      </c>
      <c r="AM17" s="31">
        <v>1445.2</v>
      </c>
      <c r="AN17" s="31">
        <v>512.74</v>
      </c>
      <c r="AO17" s="31">
        <v>119.72</v>
      </c>
      <c r="AP17" s="30"/>
      <c r="AQ17" s="30"/>
      <c r="AR17" s="30"/>
      <c r="AS17" s="30"/>
      <c r="AT17" s="30"/>
      <c r="AU17" s="31">
        <v>19.72</v>
      </c>
      <c r="AV17" s="33">
        <v>2097.38</v>
      </c>
      <c r="AW17" s="31">
        <v>354.98</v>
      </c>
      <c r="AX17" s="30"/>
      <c r="AY17" s="31">
        <v>27.61</v>
      </c>
      <c r="AZ17" s="31">
        <v>19.72</v>
      </c>
      <c r="BA17" s="31">
        <v>29.58</v>
      </c>
      <c r="BB17" s="31">
        <v>6.71</v>
      </c>
      <c r="BC17" s="30"/>
      <c r="BD17" s="33">
        <v>438.6</v>
      </c>
      <c r="BE17" s="33">
        <v>1846.8</v>
      </c>
    </row>
    <row r="18" spans="1:57" x14ac:dyDescent="0.2">
      <c r="A18" s="30">
        <v>12</v>
      </c>
      <c r="B18" s="45" t="s">
        <v>156</v>
      </c>
      <c r="C18" s="45" t="s">
        <v>157</v>
      </c>
      <c r="D18" s="30" t="s">
        <v>158</v>
      </c>
      <c r="E18" s="30" t="s">
        <v>159</v>
      </c>
      <c r="F18" s="30" t="s">
        <v>160</v>
      </c>
      <c r="G18" s="45" t="s">
        <v>64</v>
      </c>
      <c r="H18" s="45" t="s">
        <v>156</v>
      </c>
      <c r="I18" s="45" t="s">
        <v>161</v>
      </c>
      <c r="J18" s="47">
        <v>34371</v>
      </c>
      <c r="K18" s="30" t="s">
        <v>154</v>
      </c>
      <c r="L18" s="45" t="s">
        <v>67</v>
      </c>
      <c r="M18" s="45" t="s">
        <v>68</v>
      </c>
      <c r="N18" s="45" t="s">
        <v>69</v>
      </c>
      <c r="O18" s="30" t="s">
        <v>70</v>
      </c>
      <c r="P18" s="30" t="s">
        <v>91</v>
      </c>
      <c r="Q18" s="45" t="s">
        <v>81</v>
      </c>
      <c r="R18" s="45" t="s">
        <v>162</v>
      </c>
      <c r="S18" s="30" t="s">
        <v>101</v>
      </c>
      <c r="T18" s="30" t="s">
        <v>163</v>
      </c>
      <c r="U18" s="47">
        <v>45957</v>
      </c>
      <c r="V18" s="30"/>
      <c r="W18" s="30"/>
      <c r="X18" s="31">
        <v>30</v>
      </c>
      <c r="Y18" s="30"/>
      <c r="Z18" s="30"/>
      <c r="AA18" s="31">
        <v>8</v>
      </c>
      <c r="AB18" s="31">
        <v>1</v>
      </c>
      <c r="AC18" s="31">
        <v>11</v>
      </c>
      <c r="AD18" s="32">
        <v>3500</v>
      </c>
      <c r="AE18" s="34"/>
      <c r="AF18" s="31">
        <v>3500</v>
      </c>
      <c r="AG18" s="30"/>
      <c r="AH18" s="31">
        <v>145.84</v>
      </c>
      <c r="AI18" s="31">
        <v>19.690000000000001</v>
      </c>
      <c r="AJ18" s="31">
        <v>320.83999999999997</v>
      </c>
      <c r="AK18" s="30"/>
      <c r="AL18" s="33">
        <v>3986.37</v>
      </c>
      <c r="AM18" s="31">
        <v>1400</v>
      </c>
      <c r="AN18" s="30"/>
      <c r="AO18" s="31">
        <v>101.09</v>
      </c>
      <c r="AP18" s="30"/>
      <c r="AQ18" s="31">
        <v>398.64</v>
      </c>
      <c r="AR18" s="30"/>
      <c r="AS18" s="31">
        <v>54.61</v>
      </c>
      <c r="AT18" s="31">
        <v>79.73</v>
      </c>
      <c r="AU18" s="31">
        <v>19.93</v>
      </c>
      <c r="AV18" s="33">
        <v>2054</v>
      </c>
      <c r="AW18" s="31">
        <v>358.77</v>
      </c>
      <c r="AX18" s="30"/>
      <c r="AY18" s="31">
        <v>27.9</v>
      </c>
      <c r="AZ18" s="31">
        <v>19.93</v>
      </c>
      <c r="BA18" s="31">
        <v>29.9</v>
      </c>
      <c r="BB18" s="31">
        <v>4.3899999999999997</v>
      </c>
      <c r="BC18" s="31">
        <v>79.73</v>
      </c>
      <c r="BD18" s="33">
        <v>520.62</v>
      </c>
      <c r="BE18" s="33">
        <v>1932.37</v>
      </c>
    </row>
    <row r="19" spans="1:57" x14ac:dyDescent="0.2">
      <c r="A19" s="30">
        <v>13</v>
      </c>
      <c r="B19" s="45" t="s">
        <v>164</v>
      </c>
      <c r="C19" s="45" t="s">
        <v>165</v>
      </c>
      <c r="D19" s="30" t="s">
        <v>166</v>
      </c>
      <c r="E19" s="30" t="s">
        <v>167</v>
      </c>
      <c r="F19" s="30" t="s">
        <v>168</v>
      </c>
      <c r="G19" s="45" t="s">
        <v>64</v>
      </c>
      <c r="H19" s="45" t="s">
        <v>164</v>
      </c>
      <c r="I19" s="45" t="s">
        <v>65</v>
      </c>
      <c r="J19" s="47">
        <v>30782</v>
      </c>
      <c r="K19" s="30" t="s">
        <v>66</v>
      </c>
      <c r="L19" s="45" t="s">
        <v>67</v>
      </c>
      <c r="M19" s="45" t="s">
        <v>68</v>
      </c>
      <c r="N19" s="45" t="s">
        <v>69</v>
      </c>
      <c r="O19" s="30" t="s">
        <v>70</v>
      </c>
      <c r="P19" s="30" t="s">
        <v>71</v>
      </c>
      <c r="Q19" s="45" t="s">
        <v>72</v>
      </c>
      <c r="R19" s="45" t="s">
        <v>169</v>
      </c>
      <c r="S19" s="30" t="s">
        <v>74</v>
      </c>
      <c r="T19" s="30"/>
      <c r="U19" s="47">
        <v>45950</v>
      </c>
      <c r="V19" s="30"/>
      <c r="W19" s="30"/>
      <c r="X19" s="31">
        <v>30</v>
      </c>
      <c r="Y19" s="30"/>
      <c r="Z19" s="30"/>
      <c r="AA19" s="30"/>
      <c r="AB19" s="30"/>
      <c r="AC19" s="31">
        <v>11</v>
      </c>
      <c r="AD19" s="32">
        <v>6750</v>
      </c>
      <c r="AE19" s="32">
        <v>113</v>
      </c>
      <c r="AF19" s="31">
        <v>6750</v>
      </c>
      <c r="AG19" s="31">
        <v>113</v>
      </c>
      <c r="AH19" s="30"/>
      <c r="AI19" s="30"/>
      <c r="AJ19" s="31">
        <v>629.12</v>
      </c>
      <c r="AK19" s="30"/>
      <c r="AL19" s="33">
        <v>7492.12</v>
      </c>
      <c r="AM19" s="31">
        <v>2745.2</v>
      </c>
      <c r="AN19" s="31">
        <v>973.98</v>
      </c>
      <c r="AO19" s="31">
        <v>584.58000000000004</v>
      </c>
      <c r="AP19" s="30"/>
      <c r="AQ19" s="30"/>
      <c r="AR19" s="30"/>
      <c r="AS19" s="30"/>
      <c r="AT19" s="30"/>
      <c r="AU19" s="31">
        <v>37.46</v>
      </c>
      <c r="AV19" s="33">
        <v>4341.22</v>
      </c>
      <c r="AW19" s="31">
        <v>505.72</v>
      </c>
      <c r="AX19" s="31">
        <v>168.57</v>
      </c>
      <c r="AY19" s="31">
        <v>52.44</v>
      </c>
      <c r="AZ19" s="31">
        <v>37.46</v>
      </c>
      <c r="BA19" s="31">
        <v>56.19</v>
      </c>
      <c r="BB19" s="31">
        <v>12.74</v>
      </c>
      <c r="BC19" s="30"/>
      <c r="BD19" s="33">
        <v>833.12</v>
      </c>
      <c r="BE19" s="33">
        <v>3150.9</v>
      </c>
    </row>
    <row r="20" spans="1:57" x14ac:dyDescent="0.2">
      <c r="A20" s="30">
        <v>14</v>
      </c>
      <c r="B20" s="45" t="s">
        <v>170</v>
      </c>
      <c r="C20" s="45" t="s">
        <v>171</v>
      </c>
      <c r="D20" s="30" t="s">
        <v>172</v>
      </c>
      <c r="E20" s="30" t="s">
        <v>173</v>
      </c>
      <c r="F20" s="30" t="s">
        <v>174</v>
      </c>
      <c r="G20" s="45" t="s">
        <v>64</v>
      </c>
      <c r="H20" s="45" t="s">
        <v>170</v>
      </c>
      <c r="I20" s="45" t="s">
        <v>65</v>
      </c>
      <c r="J20" s="47">
        <v>35585</v>
      </c>
      <c r="K20" s="30" t="s">
        <v>175</v>
      </c>
      <c r="L20" s="45" t="s">
        <v>67</v>
      </c>
      <c r="M20" s="45" t="s">
        <v>68</v>
      </c>
      <c r="N20" s="45" t="s">
        <v>176</v>
      </c>
      <c r="O20" s="30" t="s">
        <v>177</v>
      </c>
      <c r="P20" s="30" t="s">
        <v>125</v>
      </c>
      <c r="Q20" s="45" t="s">
        <v>81</v>
      </c>
      <c r="R20" s="45" t="s">
        <v>178</v>
      </c>
      <c r="S20" s="30" t="s">
        <v>101</v>
      </c>
      <c r="T20" s="30" t="s">
        <v>179</v>
      </c>
      <c r="U20" s="47">
        <v>45957</v>
      </c>
      <c r="V20" s="30"/>
      <c r="W20" s="30"/>
      <c r="X20" s="31">
        <v>30</v>
      </c>
      <c r="Y20" s="30"/>
      <c r="Z20" s="30"/>
      <c r="AA20" s="30"/>
      <c r="AB20" s="30"/>
      <c r="AC20" s="30"/>
      <c r="AD20" s="32">
        <v>6000</v>
      </c>
      <c r="AE20" s="34"/>
      <c r="AF20" s="31">
        <v>6000</v>
      </c>
      <c r="AG20" s="30"/>
      <c r="AH20" s="30"/>
      <c r="AI20" s="30"/>
      <c r="AJ20" s="30"/>
      <c r="AK20" s="30"/>
      <c r="AL20" s="33">
        <v>6000</v>
      </c>
      <c r="AM20" s="31">
        <v>2400</v>
      </c>
      <c r="AN20" s="30"/>
      <c r="AO20" s="31">
        <v>402.78</v>
      </c>
      <c r="AP20" s="30"/>
      <c r="AQ20" s="31">
        <v>600</v>
      </c>
      <c r="AR20" s="30"/>
      <c r="AS20" s="31">
        <v>82.2</v>
      </c>
      <c r="AT20" s="31">
        <v>120</v>
      </c>
      <c r="AU20" s="31">
        <v>30</v>
      </c>
      <c r="AV20" s="33">
        <v>3634.98</v>
      </c>
      <c r="AW20" s="31">
        <v>405</v>
      </c>
      <c r="AX20" s="31">
        <v>135</v>
      </c>
      <c r="AY20" s="31">
        <v>42</v>
      </c>
      <c r="AZ20" s="31">
        <v>30</v>
      </c>
      <c r="BA20" s="31">
        <v>45</v>
      </c>
      <c r="BB20" s="31">
        <v>6.6</v>
      </c>
      <c r="BC20" s="31">
        <v>120</v>
      </c>
      <c r="BD20" s="33">
        <v>783.6</v>
      </c>
      <c r="BE20" s="33">
        <v>2365.02</v>
      </c>
    </row>
    <row r="21" spans="1:57" x14ac:dyDescent="0.2">
      <c r="A21" s="30">
        <v>15</v>
      </c>
      <c r="B21" s="45" t="s">
        <v>180</v>
      </c>
      <c r="C21" s="45" t="s">
        <v>181</v>
      </c>
      <c r="D21" s="30" t="s">
        <v>182</v>
      </c>
      <c r="E21" s="30" t="s">
        <v>183</v>
      </c>
      <c r="F21" s="30" t="s">
        <v>184</v>
      </c>
      <c r="G21" s="45" t="s">
        <v>64</v>
      </c>
      <c r="H21" s="45" t="s">
        <v>180</v>
      </c>
      <c r="I21" s="45" t="s">
        <v>65</v>
      </c>
      <c r="J21" s="47">
        <v>32883</v>
      </c>
      <c r="K21" s="30" t="s">
        <v>154</v>
      </c>
      <c r="L21" s="45" t="s">
        <v>67</v>
      </c>
      <c r="M21" s="45" t="s">
        <v>68</v>
      </c>
      <c r="N21" s="45" t="s">
        <v>69</v>
      </c>
      <c r="O21" s="30" t="s">
        <v>70</v>
      </c>
      <c r="P21" s="30" t="s">
        <v>91</v>
      </c>
      <c r="Q21" s="45" t="s">
        <v>81</v>
      </c>
      <c r="R21" s="45" t="s">
        <v>185</v>
      </c>
      <c r="S21" s="30" t="s">
        <v>186</v>
      </c>
      <c r="T21" s="30" t="s">
        <v>187</v>
      </c>
      <c r="U21" s="47">
        <v>45957</v>
      </c>
      <c r="V21" s="30"/>
      <c r="W21" s="30"/>
      <c r="X21" s="31">
        <v>30</v>
      </c>
      <c r="Y21" s="30"/>
      <c r="Z21" s="30"/>
      <c r="AA21" s="30"/>
      <c r="AB21" s="30"/>
      <c r="AC21" s="31">
        <v>22</v>
      </c>
      <c r="AD21" s="32">
        <v>3500</v>
      </c>
      <c r="AE21" s="32">
        <v>113</v>
      </c>
      <c r="AF21" s="31">
        <v>3500</v>
      </c>
      <c r="AG21" s="31">
        <v>113</v>
      </c>
      <c r="AH21" s="30"/>
      <c r="AI21" s="30"/>
      <c r="AJ21" s="31">
        <v>662.37</v>
      </c>
      <c r="AK21" s="30"/>
      <c r="AL21" s="33">
        <v>4275.37</v>
      </c>
      <c r="AM21" s="31">
        <v>1445.2</v>
      </c>
      <c r="AN21" s="30"/>
      <c r="AO21" s="31">
        <v>137.80000000000001</v>
      </c>
      <c r="AP21" s="30"/>
      <c r="AQ21" s="31">
        <v>427.54</v>
      </c>
      <c r="AR21" s="31">
        <v>72.25</v>
      </c>
      <c r="AS21" s="31">
        <v>58.57</v>
      </c>
      <c r="AT21" s="31">
        <v>85.51</v>
      </c>
      <c r="AU21" s="31">
        <v>21.38</v>
      </c>
      <c r="AV21" s="33">
        <v>2248.25</v>
      </c>
      <c r="AW21" s="31">
        <v>384.78</v>
      </c>
      <c r="AX21" s="30"/>
      <c r="AY21" s="31">
        <v>29.93</v>
      </c>
      <c r="AZ21" s="31">
        <v>21.38</v>
      </c>
      <c r="BA21" s="31">
        <v>32.07</v>
      </c>
      <c r="BB21" s="31">
        <v>4.7</v>
      </c>
      <c r="BC21" s="31">
        <v>85.51</v>
      </c>
      <c r="BD21" s="33">
        <v>558.37</v>
      </c>
      <c r="BE21" s="33">
        <v>2027.12</v>
      </c>
    </row>
    <row r="22" spans="1:57" x14ac:dyDescent="0.2">
      <c r="A22" s="30">
        <v>16</v>
      </c>
      <c r="B22" s="45" t="s">
        <v>188</v>
      </c>
      <c r="C22" s="45" t="s">
        <v>189</v>
      </c>
      <c r="D22" s="30" t="s">
        <v>190</v>
      </c>
      <c r="E22" s="30" t="s">
        <v>191</v>
      </c>
      <c r="F22" s="30" t="s">
        <v>192</v>
      </c>
      <c r="G22" s="45" t="s">
        <v>64</v>
      </c>
      <c r="H22" s="45" t="s">
        <v>188</v>
      </c>
      <c r="I22" s="45" t="s">
        <v>65</v>
      </c>
      <c r="J22" s="47">
        <v>33634</v>
      </c>
      <c r="K22" s="30" t="s">
        <v>99</v>
      </c>
      <c r="L22" s="45" t="s">
        <v>67</v>
      </c>
      <c r="M22" s="45" t="s">
        <v>68</v>
      </c>
      <c r="N22" s="45" t="s">
        <v>69</v>
      </c>
      <c r="O22" s="30" t="s">
        <v>70</v>
      </c>
      <c r="P22" s="30" t="s">
        <v>80</v>
      </c>
      <c r="Q22" s="45" t="s">
        <v>81</v>
      </c>
      <c r="R22" s="45" t="s">
        <v>193</v>
      </c>
      <c r="S22" s="30" t="s">
        <v>127</v>
      </c>
      <c r="T22" s="30" t="s">
        <v>194</v>
      </c>
      <c r="U22" s="47">
        <v>46007</v>
      </c>
      <c r="V22" s="30"/>
      <c r="W22" s="30"/>
      <c r="X22" s="31">
        <v>30</v>
      </c>
      <c r="Y22" s="30"/>
      <c r="Z22" s="30"/>
      <c r="AA22" s="30"/>
      <c r="AB22" s="30"/>
      <c r="AC22" s="31">
        <v>11</v>
      </c>
      <c r="AD22" s="32">
        <v>6500</v>
      </c>
      <c r="AE22" s="32">
        <v>113</v>
      </c>
      <c r="AF22" s="31">
        <v>6500</v>
      </c>
      <c r="AG22" s="31">
        <v>113</v>
      </c>
      <c r="AH22" s="30"/>
      <c r="AI22" s="30"/>
      <c r="AJ22" s="31">
        <v>606.17999999999995</v>
      </c>
      <c r="AK22" s="30"/>
      <c r="AL22" s="33">
        <v>7219.18</v>
      </c>
      <c r="AM22" s="31">
        <v>2645.2</v>
      </c>
      <c r="AN22" s="30"/>
      <c r="AO22" s="31">
        <v>541.91</v>
      </c>
      <c r="AP22" s="30"/>
      <c r="AQ22" s="31">
        <v>721.92</v>
      </c>
      <c r="AR22" s="30"/>
      <c r="AS22" s="31">
        <v>98.9</v>
      </c>
      <c r="AT22" s="31">
        <v>144.38</v>
      </c>
      <c r="AU22" s="31">
        <v>36.1</v>
      </c>
      <c r="AV22" s="33">
        <v>4188.41</v>
      </c>
      <c r="AW22" s="31">
        <v>487.29</v>
      </c>
      <c r="AX22" s="31">
        <v>162.43</v>
      </c>
      <c r="AY22" s="31">
        <v>50.53</v>
      </c>
      <c r="AZ22" s="31">
        <v>36.1</v>
      </c>
      <c r="BA22" s="31">
        <v>54.14</v>
      </c>
      <c r="BB22" s="31">
        <v>7.94</v>
      </c>
      <c r="BC22" s="31">
        <v>144.38</v>
      </c>
      <c r="BD22" s="33">
        <v>942.81</v>
      </c>
      <c r="BE22" s="33">
        <v>3030.77</v>
      </c>
    </row>
    <row r="23" spans="1:57" x14ac:dyDescent="0.2">
      <c r="A23" s="30">
        <v>17</v>
      </c>
      <c r="B23" s="45" t="s">
        <v>195</v>
      </c>
      <c r="C23" s="45" t="s">
        <v>196</v>
      </c>
      <c r="D23" s="30" t="s">
        <v>197</v>
      </c>
      <c r="E23" s="30" t="s">
        <v>198</v>
      </c>
      <c r="F23" s="30" t="s">
        <v>199</v>
      </c>
      <c r="G23" s="45" t="s">
        <v>64</v>
      </c>
      <c r="H23" s="45" t="s">
        <v>195</v>
      </c>
      <c r="I23" s="45" t="s">
        <v>65</v>
      </c>
      <c r="J23" s="47">
        <v>33134</v>
      </c>
      <c r="K23" s="30" t="s">
        <v>90</v>
      </c>
      <c r="L23" s="45" t="s">
        <v>67</v>
      </c>
      <c r="M23" s="45" t="s">
        <v>68</v>
      </c>
      <c r="N23" s="45" t="s">
        <v>69</v>
      </c>
      <c r="O23" s="30" t="s">
        <v>70</v>
      </c>
      <c r="P23" s="30" t="s">
        <v>125</v>
      </c>
      <c r="Q23" s="45" t="s">
        <v>81</v>
      </c>
      <c r="R23" s="45" t="s">
        <v>200</v>
      </c>
      <c r="S23" s="30" t="s">
        <v>101</v>
      </c>
      <c r="T23" s="30" t="s">
        <v>201</v>
      </c>
      <c r="U23" s="47">
        <v>45988</v>
      </c>
      <c r="V23" s="30"/>
      <c r="W23" s="30"/>
      <c r="X23" s="31">
        <v>30</v>
      </c>
      <c r="Y23" s="30"/>
      <c r="Z23" s="30"/>
      <c r="AA23" s="31">
        <v>2</v>
      </c>
      <c r="AB23" s="31">
        <v>2</v>
      </c>
      <c r="AC23" s="31">
        <v>11</v>
      </c>
      <c r="AD23" s="32">
        <v>3400</v>
      </c>
      <c r="AE23" s="32">
        <v>113</v>
      </c>
      <c r="AF23" s="31">
        <v>3400</v>
      </c>
      <c r="AG23" s="31">
        <v>113</v>
      </c>
      <c r="AH23" s="31">
        <v>36.590000000000003</v>
      </c>
      <c r="AI23" s="31">
        <v>39.520000000000003</v>
      </c>
      <c r="AJ23" s="31">
        <v>322.02999999999997</v>
      </c>
      <c r="AK23" s="30"/>
      <c r="AL23" s="33">
        <v>3911.14</v>
      </c>
      <c r="AM23" s="31">
        <v>1405.2</v>
      </c>
      <c r="AN23" s="30"/>
      <c r="AO23" s="31">
        <v>99.18</v>
      </c>
      <c r="AP23" s="30"/>
      <c r="AQ23" s="31">
        <v>391.11</v>
      </c>
      <c r="AR23" s="30"/>
      <c r="AS23" s="31">
        <v>53.58</v>
      </c>
      <c r="AT23" s="31">
        <v>78.22</v>
      </c>
      <c r="AU23" s="31">
        <v>19.559999999999999</v>
      </c>
      <c r="AV23" s="33">
        <v>2046.85</v>
      </c>
      <c r="AW23" s="31">
        <v>352</v>
      </c>
      <c r="AX23" s="30"/>
      <c r="AY23" s="31">
        <v>27.38</v>
      </c>
      <c r="AZ23" s="31">
        <v>19.559999999999999</v>
      </c>
      <c r="BA23" s="31">
        <v>29.33</v>
      </c>
      <c r="BB23" s="31">
        <v>4.3</v>
      </c>
      <c r="BC23" s="31">
        <v>78.22</v>
      </c>
      <c r="BD23" s="33">
        <v>510.79</v>
      </c>
      <c r="BE23" s="33">
        <v>1864.29</v>
      </c>
    </row>
    <row r="24" spans="1:57" x14ac:dyDescent="0.2">
      <c r="A24" s="30">
        <v>18</v>
      </c>
      <c r="B24" s="45" t="s">
        <v>202</v>
      </c>
      <c r="C24" s="45" t="s">
        <v>203</v>
      </c>
      <c r="D24" s="30" t="s">
        <v>204</v>
      </c>
      <c r="E24" s="30" t="s">
        <v>205</v>
      </c>
      <c r="F24" s="30" t="s">
        <v>206</v>
      </c>
      <c r="G24" s="45" t="s">
        <v>64</v>
      </c>
      <c r="H24" s="45" t="s">
        <v>202</v>
      </c>
      <c r="I24" s="45" t="s">
        <v>65</v>
      </c>
      <c r="J24" s="47">
        <v>32866</v>
      </c>
      <c r="K24" s="30" t="s">
        <v>146</v>
      </c>
      <c r="L24" s="45" t="s">
        <v>67</v>
      </c>
      <c r="M24" s="45" t="s">
        <v>68</v>
      </c>
      <c r="N24" s="45" t="s">
        <v>69</v>
      </c>
      <c r="O24" s="30" t="s">
        <v>70</v>
      </c>
      <c r="P24" s="30" t="s">
        <v>80</v>
      </c>
      <c r="Q24" s="45" t="s">
        <v>81</v>
      </c>
      <c r="R24" s="45" t="s">
        <v>207</v>
      </c>
      <c r="S24" s="30" t="s">
        <v>74</v>
      </c>
      <c r="T24" s="30"/>
      <c r="U24" s="47">
        <v>45952</v>
      </c>
      <c r="V24" s="30"/>
      <c r="W24" s="30"/>
      <c r="X24" s="31">
        <v>30</v>
      </c>
      <c r="Y24" s="30"/>
      <c r="Z24" s="30"/>
      <c r="AA24" s="30"/>
      <c r="AB24" s="30"/>
      <c r="AC24" s="31">
        <v>11</v>
      </c>
      <c r="AD24" s="32">
        <v>6500</v>
      </c>
      <c r="AE24" s="32">
        <v>113</v>
      </c>
      <c r="AF24" s="31">
        <v>6500</v>
      </c>
      <c r="AG24" s="31">
        <v>113</v>
      </c>
      <c r="AH24" s="30"/>
      <c r="AI24" s="30"/>
      <c r="AJ24" s="31">
        <v>606.17999999999995</v>
      </c>
      <c r="AK24" s="30"/>
      <c r="AL24" s="33">
        <v>7219.18</v>
      </c>
      <c r="AM24" s="31">
        <v>2645.2</v>
      </c>
      <c r="AN24" s="31">
        <v>938.49</v>
      </c>
      <c r="AO24" s="31">
        <v>615.1</v>
      </c>
      <c r="AP24" s="30"/>
      <c r="AQ24" s="30"/>
      <c r="AR24" s="30"/>
      <c r="AS24" s="30"/>
      <c r="AT24" s="30"/>
      <c r="AU24" s="31">
        <v>36.1</v>
      </c>
      <c r="AV24" s="33">
        <v>4234.8900000000003</v>
      </c>
      <c r="AW24" s="31">
        <v>487.29</v>
      </c>
      <c r="AX24" s="31">
        <v>162.43</v>
      </c>
      <c r="AY24" s="31">
        <v>50.53</v>
      </c>
      <c r="AZ24" s="31">
        <v>36.1</v>
      </c>
      <c r="BA24" s="31">
        <v>54.14</v>
      </c>
      <c r="BB24" s="31">
        <v>7.94</v>
      </c>
      <c r="BC24" s="30"/>
      <c r="BD24" s="33">
        <v>798.43</v>
      </c>
      <c r="BE24" s="33">
        <v>2984.29</v>
      </c>
    </row>
    <row r="25" spans="1:57" x14ac:dyDescent="0.2">
      <c r="A25" s="30">
        <v>19</v>
      </c>
      <c r="B25" s="45" t="s">
        <v>208</v>
      </c>
      <c r="C25" s="45" t="s">
        <v>209</v>
      </c>
      <c r="D25" s="30" t="s">
        <v>210</v>
      </c>
      <c r="E25" s="30" t="s">
        <v>211</v>
      </c>
      <c r="F25" s="30" t="s">
        <v>212</v>
      </c>
      <c r="G25" s="45" t="s">
        <v>64</v>
      </c>
      <c r="H25" s="45" t="s">
        <v>208</v>
      </c>
      <c r="I25" s="45" t="s">
        <v>65</v>
      </c>
      <c r="J25" s="47">
        <v>34807</v>
      </c>
      <c r="K25" s="30" t="s">
        <v>213</v>
      </c>
      <c r="L25" s="45" t="s">
        <v>67</v>
      </c>
      <c r="M25" s="45" t="s">
        <v>68</v>
      </c>
      <c r="N25" s="45" t="s">
        <v>69</v>
      </c>
      <c r="O25" s="30" t="s">
        <v>70</v>
      </c>
      <c r="P25" s="30" t="s">
        <v>71</v>
      </c>
      <c r="Q25" s="45" t="s">
        <v>72</v>
      </c>
      <c r="R25" s="45" t="s">
        <v>214</v>
      </c>
      <c r="S25" s="30" t="s">
        <v>127</v>
      </c>
      <c r="T25" s="30" t="s">
        <v>215</v>
      </c>
      <c r="U25" s="47">
        <v>45950</v>
      </c>
      <c r="V25" s="30"/>
      <c r="W25" s="30"/>
      <c r="X25" s="31">
        <v>30</v>
      </c>
      <c r="Y25" s="30"/>
      <c r="Z25" s="30"/>
      <c r="AA25" s="30"/>
      <c r="AB25" s="30"/>
      <c r="AC25" s="31">
        <v>11</v>
      </c>
      <c r="AD25" s="32">
        <v>6500</v>
      </c>
      <c r="AE25" s="32">
        <v>113</v>
      </c>
      <c r="AF25" s="31">
        <v>6500</v>
      </c>
      <c r="AG25" s="31">
        <v>113</v>
      </c>
      <c r="AH25" s="30"/>
      <c r="AI25" s="30"/>
      <c r="AJ25" s="31">
        <v>606.17999999999995</v>
      </c>
      <c r="AK25" s="30"/>
      <c r="AL25" s="33">
        <v>7219.18</v>
      </c>
      <c r="AM25" s="31">
        <v>2645.2</v>
      </c>
      <c r="AN25" s="30"/>
      <c r="AO25" s="31">
        <v>634.79999999999995</v>
      </c>
      <c r="AP25" s="30"/>
      <c r="AQ25" s="31">
        <v>721.92</v>
      </c>
      <c r="AR25" s="30"/>
      <c r="AS25" s="31">
        <v>98.9</v>
      </c>
      <c r="AT25" s="31">
        <v>144.38</v>
      </c>
      <c r="AU25" s="31">
        <v>36.1</v>
      </c>
      <c r="AV25" s="33">
        <v>4281.3</v>
      </c>
      <c r="AW25" s="31">
        <v>487.29</v>
      </c>
      <c r="AX25" s="31">
        <v>162.43</v>
      </c>
      <c r="AY25" s="31">
        <v>50.53</v>
      </c>
      <c r="AZ25" s="31">
        <v>36.1</v>
      </c>
      <c r="BA25" s="31">
        <v>54.14</v>
      </c>
      <c r="BB25" s="31">
        <v>7.94</v>
      </c>
      <c r="BC25" s="31">
        <v>144.38</v>
      </c>
      <c r="BD25" s="33">
        <v>942.81</v>
      </c>
      <c r="BE25" s="33">
        <v>2937.88</v>
      </c>
    </row>
    <row r="26" spans="1:57" x14ac:dyDescent="0.2">
      <c r="A26" s="30">
        <v>20</v>
      </c>
      <c r="B26" s="45" t="s">
        <v>216</v>
      </c>
      <c r="C26" s="45" t="s">
        <v>217</v>
      </c>
      <c r="D26" s="30" t="s">
        <v>218</v>
      </c>
      <c r="E26" s="30" t="s">
        <v>219</v>
      </c>
      <c r="F26" s="30" t="s">
        <v>220</v>
      </c>
      <c r="G26" s="45" t="s">
        <v>64</v>
      </c>
      <c r="H26" s="45" t="s">
        <v>216</v>
      </c>
      <c r="I26" s="45" t="s">
        <v>65</v>
      </c>
      <c r="J26" s="47">
        <v>28142</v>
      </c>
      <c r="K26" s="30" t="s">
        <v>108</v>
      </c>
      <c r="L26" s="45" t="s">
        <v>67</v>
      </c>
      <c r="M26" s="45" t="s">
        <v>68</v>
      </c>
      <c r="N26" s="45" t="s">
        <v>69</v>
      </c>
      <c r="O26" s="30" t="s">
        <v>70</v>
      </c>
      <c r="P26" s="30" t="s">
        <v>91</v>
      </c>
      <c r="Q26" s="45" t="s">
        <v>81</v>
      </c>
      <c r="R26" s="45" t="s">
        <v>221</v>
      </c>
      <c r="S26" s="30" t="s">
        <v>83</v>
      </c>
      <c r="T26" s="30" t="s">
        <v>222</v>
      </c>
      <c r="U26" s="47">
        <v>45976</v>
      </c>
      <c r="V26" s="30"/>
      <c r="W26" s="30"/>
      <c r="X26" s="31">
        <v>29</v>
      </c>
      <c r="Y26" s="31">
        <v>1</v>
      </c>
      <c r="Z26" s="30"/>
      <c r="AA26" s="30"/>
      <c r="AB26" s="30"/>
      <c r="AC26" s="31">
        <v>11</v>
      </c>
      <c r="AD26" s="32">
        <v>3450</v>
      </c>
      <c r="AE26" s="32">
        <v>113</v>
      </c>
      <c r="AF26" s="31">
        <v>3335</v>
      </c>
      <c r="AG26" s="31">
        <v>113</v>
      </c>
      <c r="AH26" s="30"/>
      <c r="AI26" s="30"/>
      <c r="AJ26" s="31">
        <v>326.62</v>
      </c>
      <c r="AK26" s="31">
        <v>115</v>
      </c>
      <c r="AL26" s="33">
        <v>3889.62</v>
      </c>
      <c r="AM26" s="31">
        <v>1425.2</v>
      </c>
      <c r="AN26" s="30"/>
      <c r="AO26" s="31">
        <v>111.03</v>
      </c>
      <c r="AP26" s="30"/>
      <c r="AQ26" s="31">
        <v>388.96</v>
      </c>
      <c r="AR26" s="31">
        <v>62.23</v>
      </c>
      <c r="AS26" s="31">
        <v>53.29</v>
      </c>
      <c r="AT26" s="31">
        <v>77.790000000000006</v>
      </c>
      <c r="AU26" s="31">
        <v>19.45</v>
      </c>
      <c r="AV26" s="33">
        <v>2137.9499999999998</v>
      </c>
      <c r="AW26" s="31">
        <v>350.07</v>
      </c>
      <c r="AX26" s="30"/>
      <c r="AY26" s="31">
        <v>27.23</v>
      </c>
      <c r="AZ26" s="31">
        <v>19.45</v>
      </c>
      <c r="BA26" s="31">
        <v>29.17</v>
      </c>
      <c r="BB26" s="31">
        <v>6.61</v>
      </c>
      <c r="BC26" s="31">
        <v>77.790000000000006</v>
      </c>
      <c r="BD26" s="33">
        <v>510.32</v>
      </c>
      <c r="BE26" s="33">
        <v>1751.67</v>
      </c>
    </row>
    <row r="27" spans="1:57" x14ac:dyDescent="0.2">
      <c r="A27" s="30">
        <v>21</v>
      </c>
      <c r="B27" s="45" t="s">
        <v>223</v>
      </c>
      <c r="C27" s="45" t="s">
        <v>224</v>
      </c>
      <c r="D27" s="30" t="s">
        <v>225</v>
      </c>
      <c r="E27" s="30" t="s">
        <v>226</v>
      </c>
      <c r="F27" s="30" t="s">
        <v>227</v>
      </c>
      <c r="G27" s="45" t="s">
        <v>64</v>
      </c>
      <c r="H27" s="45" t="s">
        <v>223</v>
      </c>
      <c r="I27" s="45" t="s">
        <v>65</v>
      </c>
      <c r="J27" s="47">
        <v>32587</v>
      </c>
      <c r="K27" s="30" t="s">
        <v>90</v>
      </c>
      <c r="L27" s="45" t="s">
        <v>67</v>
      </c>
      <c r="M27" s="45" t="s">
        <v>68</v>
      </c>
      <c r="N27" s="45" t="s">
        <v>69</v>
      </c>
      <c r="O27" s="30" t="s">
        <v>70</v>
      </c>
      <c r="P27" s="30" t="s">
        <v>228</v>
      </c>
      <c r="Q27" s="45" t="s">
        <v>81</v>
      </c>
      <c r="R27" s="45" t="s">
        <v>229</v>
      </c>
      <c r="S27" s="30" t="s">
        <v>186</v>
      </c>
      <c r="T27" s="30" t="s">
        <v>230</v>
      </c>
      <c r="U27" s="47">
        <v>45957</v>
      </c>
      <c r="V27" s="30"/>
      <c r="W27" s="30"/>
      <c r="X27" s="31">
        <v>30</v>
      </c>
      <c r="Y27" s="30"/>
      <c r="Z27" s="30"/>
      <c r="AA27" s="30"/>
      <c r="AB27" s="30"/>
      <c r="AC27" s="31">
        <v>11</v>
      </c>
      <c r="AD27" s="32">
        <v>3400</v>
      </c>
      <c r="AE27" s="34"/>
      <c r="AF27" s="31">
        <v>3400</v>
      </c>
      <c r="AG27" s="30"/>
      <c r="AH27" s="30"/>
      <c r="AI27" s="30"/>
      <c r="AJ27" s="31">
        <v>311.66000000000003</v>
      </c>
      <c r="AK27" s="30"/>
      <c r="AL27" s="33">
        <v>3711.66</v>
      </c>
      <c r="AM27" s="31">
        <v>1360</v>
      </c>
      <c r="AN27" s="30"/>
      <c r="AO27" s="31">
        <v>103.34</v>
      </c>
      <c r="AP27" s="30"/>
      <c r="AQ27" s="31">
        <v>371.17</v>
      </c>
      <c r="AR27" s="31">
        <v>62.73</v>
      </c>
      <c r="AS27" s="31">
        <v>50.85</v>
      </c>
      <c r="AT27" s="31">
        <v>74.23</v>
      </c>
      <c r="AU27" s="31">
        <v>18.559999999999999</v>
      </c>
      <c r="AV27" s="33">
        <v>2040.88</v>
      </c>
      <c r="AW27" s="31">
        <v>334.05</v>
      </c>
      <c r="AX27" s="30"/>
      <c r="AY27" s="31">
        <v>25.98</v>
      </c>
      <c r="AZ27" s="31">
        <v>18.559999999999999</v>
      </c>
      <c r="BA27" s="31">
        <v>27.84</v>
      </c>
      <c r="BB27" s="31">
        <v>4.08</v>
      </c>
      <c r="BC27" s="31">
        <v>74.23</v>
      </c>
      <c r="BD27" s="33">
        <v>484.74</v>
      </c>
      <c r="BE27" s="33">
        <v>1670.78</v>
      </c>
    </row>
    <row r="28" spans="1:57" x14ac:dyDescent="0.2">
      <c r="A28" s="30">
        <v>22</v>
      </c>
      <c r="B28" s="45" t="s">
        <v>231</v>
      </c>
      <c r="C28" s="45" t="s">
        <v>232</v>
      </c>
      <c r="D28" s="30" t="s">
        <v>233</v>
      </c>
      <c r="E28" s="30" t="s">
        <v>234</v>
      </c>
      <c r="F28" s="30" t="s">
        <v>235</v>
      </c>
      <c r="G28" s="45" t="s">
        <v>64</v>
      </c>
      <c r="H28" s="45" t="s">
        <v>231</v>
      </c>
      <c r="I28" s="45" t="s">
        <v>65</v>
      </c>
      <c r="J28" s="47">
        <v>35027</v>
      </c>
      <c r="K28" s="30" t="s">
        <v>108</v>
      </c>
      <c r="L28" s="45" t="s">
        <v>67</v>
      </c>
      <c r="M28" s="45" t="s">
        <v>68</v>
      </c>
      <c r="N28" s="45" t="s">
        <v>69</v>
      </c>
      <c r="O28" s="30" t="s">
        <v>70</v>
      </c>
      <c r="P28" s="30" t="s">
        <v>91</v>
      </c>
      <c r="Q28" s="45" t="s">
        <v>81</v>
      </c>
      <c r="R28" s="45" t="s">
        <v>236</v>
      </c>
      <c r="S28" s="30" t="s">
        <v>101</v>
      </c>
      <c r="T28" s="30" t="s">
        <v>237</v>
      </c>
      <c r="U28" s="47">
        <v>45957</v>
      </c>
      <c r="V28" s="30"/>
      <c r="W28" s="30"/>
      <c r="X28" s="31">
        <v>30</v>
      </c>
      <c r="Y28" s="30"/>
      <c r="Z28" s="30"/>
      <c r="AA28" s="30"/>
      <c r="AB28" s="30"/>
      <c r="AC28" s="31">
        <v>11</v>
      </c>
      <c r="AD28" s="32">
        <v>3450</v>
      </c>
      <c r="AE28" s="34"/>
      <c r="AF28" s="31">
        <v>3450</v>
      </c>
      <c r="AG28" s="30"/>
      <c r="AH28" s="30"/>
      <c r="AI28" s="30"/>
      <c r="AJ28" s="31">
        <v>316.25</v>
      </c>
      <c r="AK28" s="30"/>
      <c r="AL28" s="33">
        <v>3766.25</v>
      </c>
      <c r="AM28" s="31">
        <v>1380</v>
      </c>
      <c r="AN28" s="30"/>
      <c r="AO28" s="31">
        <v>80.84</v>
      </c>
      <c r="AP28" s="30"/>
      <c r="AQ28" s="31">
        <v>376.63</v>
      </c>
      <c r="AR28" s="30"/>
      <c r="AS28" s="31">
        <v>51.6</v>
      </c>
      <c r="AT28" s="31">
        <v>75.33</v>
      </c>
      <c r="AU28" s="31">
        <v>18.829999999999998</v>
      </c>
      <c r="AV28" s="33">
        <v>1983.23</v>
      </c>
      <c r="AW28" s="31">
        <v>338.96</v>
      </c>
      <c r="AX28" s="30"/>
      <c r="AY28" s="31">
        <v>26.36</v>
      </c>
      <c r="AZ28" s="31">
        <v>18.829999999999998</v>
      </c>
      <c r="BA28" s="31">
        <v>28.25</v>
      </c>
      <c r="BB28" s="31">
        <v>4.1399999999999997</v>
      </c>
      <c r="BC28" s="31">
        <v>75.33</v>
      </c>
      <c r="BD28" s="33">
        <v>491.87</v>
      </c>
      <c r="BE28" s="33">
        <v>1783.02</v>
      </c>
    </row>
    <row r="29" spans="1:57" x14ac:dyDescent="0.2">
      <c r="A29" s="30">
        <v>23</v>
      </c>
      <c r="B29" s="45" t="s">
        <v>238</v>
      </c>
      <c r="C29" s="45" t="s">
        <v>239</v>
      </c>
      <c r="D29" s="30" t="s">
        <v>240</v>
      </c>
      <c r="E29" s="30" t="s">
        <v>241</v>
      </c>
      <c r="F29" s="30" t="s">
        <v>242</v>
      </c>
      <c r="G29" s="45" t="s">
        <v>64</v>
      </c>
      <c r="H29" s="45" t="s">
        <v>238</v>
      </c>
      <c r="I29" s="45" t="s">
        <v>161</v>
      </c>
      <c r="J29" s="47">
        <v>32137</v>
      </c>
      <c r="K29" s="30" t="s">
        <v>243</v>
      </c>
      <c r="L29" s="45" t="s">
        <v>67</v>
      </c>
      <c r="M29" s="45" t="s">
        <v>68</v>
      </c>
      <c r="N29" s="45" t="s">
        <v>69</v>
      </c>
      <c r="O29" s="30" t="s">
        <v>70</v>
      </c>
      <c r="P29" s="30" t="s">
        <v>91</v>
      </c>
      <c r="Q29" s="45" t="s">
        <v>81</v>
      </c>
      <c r="R29" s="45" t="s">
        <v>244</v>
      </c>
      <c r="S29" s="30" t="s">
        <v>83</v>
      </c>
      <c r="T29" s="30" t="s">
        <v>245</v>
      </c>
      <c r="U29" s="47">
        <v>45957</v>
      </c>
      <c r="V29" s="30"/>
      <c r="W29" s="30"/>
      <c r="X29" s="31">
        <v>30</v>
      </c>
      <c r="Y29" s="30"/>
      <c r="Z29" s="30"/>
      <c r="AA29" s="30"/>
      <c r="AB29" s="30"/>
      <c r="AC29" s="31">
        <v>22</v>
      </c>
      <c r="AD29" s="32">
        <v>3200</v>
      </c>
      <c r="AE29" s="34"/>
      <c r="AF29" s="31">
        <v>3200</v>
      </c>
      <c r="AG29" s="30"/>
      <c r="AH29" s="30"/>
      <c r="AI29" s="30"/>
      <c r="AJ29" s="31">
        <v>586.69000000000005</v>
      </c>
      <c r="AK29" s="30"/>
      <c r="AL29" s="33">
        <v>3786.69</v>
      </c>
      <c r="AM29" s="31">
        <v>1280</v>
      </c>
      <c r="AN29" s="30"/>
      <c r="AO29" s="31">
        <v>91.6</v>
      </c>
      <c r="AP29" s="30"/>
      <c r="AQ29" s="31">
        <v>378.67</v>
      </c>
      <c r="AR29" s="30"/>
      <c r="AS29" s="31">
        <v>51.88</v>
      </c>
      <c r="AT29" s="31">
        <v>75.73</v>
      </c>
      <c r="AU29" s="31">
        <v>18.93</v>
      </c>
      <c r="AV29" s="33">
        <v>1896.81</v>
      </c>
      <c r="AW29" s="31">
        <v>255.6</v>
      </c>
      <c r="AX29" s="31">
        <v>85.2</v>
      </c>
      <c r="AY29" s="31">
        <v>26.51</v>
      </c>
      <c r="AZ29" s="31">
        <v>18.93</v>
      </c>
      <c r="BA29" s="31">
        <v>28.4</v>
      </c>
      <c r="BB29" s="31">
        <v>6.44</v>
      </c>
      <c r="BC29" s="31">
        <v>75.73</v>
      </c>
      <c r="BD29" s="33">
        <v>496.81</v>
      </c>
      <c r="BE29" s="33">
        <v>1889.88</v>
      </c>
    </row>
    <row r="30" spans="1:57" x14ac:dyDescent="0.2">
      <c r="A30" s="30">
        <v>24</v>
      </c>
      <c r="B30" s="45" t="s">
        <v>246</v>
      </c>
      <c r="C30" s="45" t="s">
        <v>247</v>
      </c>
      <c r="D30" s="30" t="s">
        <v>248</v>
      </c>
      <c r="E30" s="30" t="s">
        <v>249</v>
      </c>
      <c r="F30" s="30" t="s">
        <v>98</v>
      </c>
      <c r="G30" s="45" t="s">
        <v>64</v>
      </c>
      <c r="H30" s="45" t="s">
        <v>246</v>
      </c>
      <c r="I30" s="45" t="s">
        <v>65</v>
      </c>
      <c r="J30" s="47">
        <v>35158</v>
      </c>
      <c r="K30" s="30" t="s">
        <v>139</v>
      </c>
      <c r="L30" s="45" t="s">
        <v>67</v>
      </c>
      <c r="M30" s="45" t="s">
        <v>68</v>
      </c>
      <c r="N30" s="45" t="s">
        <v>69</v>
      </c>
      <c r="O30" s="30" t="s">
        <v>70</v>
      </c>
      <c r="P30" s="30" t="s">
        <v>91</v>
      </c>
      <c r="Q30" s="45" t="s">
        <v>81</v>
      </c>
      <c r="R30" s="45" t="s">
        <v>250</v>
      </c>
      <c r="S30" s="30" t="s">
        <v>74</v>
      </c>
      <c r="T30" s="30"/>
      <c r="U30" s="47">
        <v>45957</v>
      </c>
      <c r="V30" s="30"/>
      <c r="W30" s="30"/>
      <c r="X30" s="31">
        <v>30</v>
      </c>
      <c r="Y30" s="30"/>
      <c r="Z30" s="30"/>
      <c r="AA30" s="30"/>
      <c r="AB30" s="30"/>
      <c r="AC30" s="31">
        <v>11</v>
      </c>
      <c r="AD30" s="32">
        <v>3500</v>
      </c>
      <c r="AE30" s="34"/>
      <c r="AF30" s="31">
        <v>3500</v>
      </c>
      <c r="AG30" s="30"/>
      <c r="AH30" s="30"/>
      <c r="AI30" s="30"/>
      <c r="AJ30" s="31">
        <v>320.83999999999997</v>
      </c>
      <c r="AK30" s="30"/>
      <c r="AL30" s="33">
        <v>3820.84</v>
      </c>
      <c r="AM30" s="31">
        <v>1400</v>
      </c>
      <c r="AN30" s="31">
        <v>496.71</v>
      </c>
      <c r="AO30" s="31">
        <v>95.13</v>
      </c>
      <c r="AP30" s="30"/>
      <c r="AQ30" s="30"/>
      <c r="AR30" s="30"/>
      <c r="AS30" s="30"/>
      <c r="AT30" s="30"/>
      <c r="AU30" s="31">
        <v>19.100000000000001</v>
      </c>
      <c r="AV30" s="33">
        <v>2010.94</v>
      </c>
      <c r="AW30" s="31">
        <v>343.88</v>
      </c>
      <c r="AX30" s="30"/>
      <c r="AY30" s="31">
        <v>26.75</v>
      </c>
      <c r="AZ30" s="31">
        <v>19.100000000000001</v>
      </c>
      <c r="BA30" s="31">
        <v>28.66</v>
      </c>
      <c r="BB30" s="31">
        <v>4.2</v>
      </c>
      <c r="BC30" s="30"/>
      <c r="BD30" s="33">
        <v>422.59</v>
      </c>
      <c r="BE30" s="33">
        <v>1809.9</v>
      </c>
    </row>
    <row r="31" spans="1:57" x14ac:dyDescent="0.2">
      <c r="A31" s="30">
        <v>25</v>
      </c>
      <c r="B31" s="45" t="s">
        <v>251</v>
      </c>
      <c r="C31" s="45" t="s">
        <v>252</v>
      </c>
      <c r="D31" s="30" t="s">
        <v>253</v>
      </c>
      <c r="E31" s="30" t="s">
        <v>254</v>
      </c>
      <c r="F31" s="30" t="s">
        <v>255</v>
      </c>
      <c r="G31" s="45" t="s">
        <v>64</v>
      </c>
      <c r="H31" s="45" t="s">
        <v>251</v>
      </c>
      <c r="I31" s="45" t="s">
        <v>65</v>
      </c>
      <c r="J31" s="47">
        <v>33624</v>
      </c>
      <c r="K31" s="30" t="s">
        <v>90</v>
      </c>
      <c r="L31" s="45" t="s">
        <v>67</v>
      </c>
      <c r="M31" s="45" t="s">
        <v>68</v>
      </c>
      <c r="N31" s="45" t="s">
        <v>69</v>
      </c>
      <c r="O31" s="30" t="s">
        <v>70</v>
      </c>
      <c r="P31" s="30" t="s">
        <v>71</v>
      </c>
      <c r="Q31" s="45" t="s">
        <v>72</v>
      </c>
      <c r="R31" s="45" t="s">
        <v>256</v>
      </c>
      <c r="S31" s="30" t="s">
        <v>101</v>
      </c>
      <c r="T31" s="30" t="s">
        <v>257</v>
      </c>
      <c r="U31" s="47">
        <v>45957</v>
      </c>
      <c r="V31" s="30"/>
      <c r="W31" s="30"/>
      <c r="X31" s="31">
        <v>30</v>
      </c>
      <c r="Y31" s="30"/>
      <c r="Z31" s="30"/>
      <c r="AA31" s="31">
        <v>2</v>
      </c>
      <c r="AB31" s="31">
        <v>2</v>
      </c>
      <c r="AC31" s="31">
        <v>11</v>
      </c>
      <c r="AD31" s="32">
        <v>3400</v>
      </c>
      <c r="AE31" s="34"/>
      <c r="AF31" s="31">
        <v>3400</v>
      </c>
      <c r="AG31" s="30"/>
      <c r="AH31" s="31">
        <v>35.42</v>
      </c>
      <c r="AI31" s="31">
        <v>38.25</v>
      </c>
      <c r="AJ31" s="31">
        <v>311.66000000000003</v>
      </c>
      <c r="AK31" s="30"/>
      <c r="AL31" s="33">
        <v>3785.33</v>
      </c>
      <c r="AM31" s="31">
        <v>1360</v>
      </c>
      <c r="AN31" s="30"/>
      <c r="AO31" s="31">
        <v>78.599999999999994</v>
      </c>
      <c r="AP31" s="30"/>
      <c r="AQ31" s="31">
        <v>378.53</v>
      </c>
      <c r="AR31" s="30"/>
      <c r="AS31" s="31">
        <v>51.86</v>
      </c>
      <c r="AT31" s="31">
        <v>75.709999999999994</v>
      </c>
      <c r="AU31" s="31">
        <v>18.93</v>
      </c>
      <c r="AV31" s="33">
        <v>1963.63</v>
      </c>
      <c r="AW31" s="31">
        <v>340.68</v>
      </c>
      <c r="AX31" s="30"/>
      <c r="AY31" s="31">
        <v>26.5</v>
      </c>
      <c r="AZ31" s="31">
        <v>18.93</v>
      </c>
      <c r="BA31" s="31">
        <v>28.39</v>
      </c>
      <c r="BB31" s="31">
        <v>4.16</v>
      </c>
      <c r="BC31" s="31">
        <v>75.709999999999994</v>
      </c>
      <c r="BD31" s="33">
        <v>494.37</v>
      </c>
      <c r="BE31" s="33">
        <v>1821.7</v>
      </c>
    </row>
    <row r="32" spans="1:57" x14ac:dyDescent="0.2">
      <c r="A32" s="30">
        <v>26</v>
      </c>
      <c r="B32" s="45" t="s">
        <v>258</v>
      </c>
      <c r="C32" s="45" t="s">
        <v>259</v>
      </c>
      <c r="D32" s="30" t="s">
        <v>260</v>
      </c>
      <c r="E32" s="30" t="s">
        <v>261</v>
      </c>
      <c r="F32" s="30" t="s">
        <v>262</v>
      </c>
      <c r="G32" s="45" t="s">
        <v>64</v>
      </c>
      <c r="H32" s="45" t="s">
        <v>258</v>
      </c>
      <c r="I32" s="45" t="s">
        <v>65</v>
      </c>
      <c r="J32" s="47">
        <v>35728</v>
      </c>
      <c r="K32" s="30" t="s">
        <v>108</v>
      </c>
      <c r="L32" s="45" t="s">
        <v>67</v>
      </c>
      <c r="M32" s="45" t="s">
        <v>68</v>
      </c>
      <c r="N32" s="45" t="s">
        <v>69</v>
      </c>
      <c r="O32" s="30" t="s">
        <v>70</v>
      </c>
      <c r="P32" s="30" t="s">
        <v>71</v>
      </c>
      <c r="Q32" s="45" t="s">
        <v>72</v>
      </c>
      <c r="R32" s="45" t="s">
        <v>263</v>
      </c>
      <c r="S32" s="30" t="s">
        <v>101</v>
      </c>
      <c r="T32" s="30" t="s">
        <v>264</v>
      </c>
      <c r="U32" s="47">
        <v>45964</v>
      </c>
      <c r="V32" s="30"/>
      <c r="W32" s="30"/>
      <c r="X32" s="31">
        <v>29</v>
      </c>
      <c r="Y32" s="31">
        <v>1</v>
      </c>
      <c r="Z32" s="30"/>
      <c r="AA32" s="30"/>
      <c r="AB32" s="30"/>
      <c r="AC32" s="31">
        <v>11</v>
      </c>
      <c r="AD32" s="32">
        <v>3450</v>
      </c>
      <c r="AE32" s="34"/>
      <c r="AF32" s="31">
        <v>3335</v>
      </c>
      <c r="AG32" s="30"/>
      <c r="AH32" s="30"/>
      <c r="AI32" s="30"/>
      <c r="AJ32" s="31">
        <v>316.25</v>
      </c>
      <c r="AK32" s="31">
        <v>115</v>
      </c>
      <c r="AL32" s="33">
        <v>3766.25</v>
      </c>
      <c r="AM32" s="31">
        <v>1380</v>
      </c>
      <c r="AN32" s="30"/>
      <c r="AO32" s="31">
        <v>80.84</v>
      </c>
      <c r="AP32" s="30"/>
      <c r="AQ32" s="31">
        <v>376.63</v>
      </c>
      <c r="AR32" s="30"/>
      <c r="AS32" s="31">
        <v>51.6</v>
      </c>
      <c r="AT32" s="31">
        <v>75.33</v>
      </c>
      <c r="AU32" s="31">
        <v>18.829999999999998</v>
      </c>
      <c r="AV32" s="33">
        <v>1983.23</v>
      </c>
      <c r="AW32" s="31">
        <v>338.96</v>
      </c>
      <c r="AX32" s="30"/>
      <c r="AY32" s="31">
        <v>26.36</v>
      </c>
      <c r="AZ32" s="31">
        <v>18.829999999999998</v>
      </c>
      <c r="BA32" s="31">
        <v>28.25</v>
      </c>
      <c r="BB32" s="31">
        <v>4.1399999999999997</v>
      </c>
      <c r="BC32" s="31">
        <v>75.33</v>
      </c>
      <c r="BD32" s="33">
        <v>491.87</v>
      </c>
      <c r="BE32" s="33">
        <v>1783.02</v>
      </c>
    </row>
    <row r="33" spans="1:57" x14ac:dyDescent="0.2">
      <c r="A33" s="30">
        <v>27</v>
      </c>
      <c r="B33" s="45" t="s">
        <v>265</v>
      </c>
      <c r="C33" s="45" t="s">
        <v>266</v>
      </c>
      <c r="D33" s="30" t="s">
        <v>267</v>
      </c>
      <c r="E33" s="30" t="s">
        <v>268</v>
      </c>
      <c r="F33" s="30" t="s">
        <v>269</v>
      </c>
      <c r="G33" s="45" t="s">
        <v>64</v>
      </c>
      <c r="H33" s="45" t="s">
        <v>265</v>
      </c>
      <c r="I33" s="45" t="s">
        <v>65</v>
      </c>
      <c r="J33" s="47">
        <v>32874</v>
      </c>
      <c r="K33" s="30" t="s">
        <v>139</v>
      </c>
      <c r="L33" s="45" t="s">
        <v>67</v>
      </c>
      <c r="M33" s="45" t="s">
        <v>68</v>
      </c>
      <c r="N33" s="45" t="s">
        <v>69</v>
      </c>
      <c r="O33" s="30" t="s">
        <v>70</v>
      </c>
      <c r="P33" s="30" t="s">
        <v>270</v>
      </c>
      <c r="Q33" s="45" t="s">
        <v>81</v>
      </c>
      <c r="R33" s="45" t="s">
        <v>271</v>
      </c>
      <c r="S33" s="30" t="s">
        <v>101</v>
      </c>
      <c r="T33" s="30" t="s">
        <v>272</v>
      </c>
      <c r="U33" s="47">
        <v>45950</v>
      </c>
      <c r="V33" s="30"/>
      <c r="W33" s="30"/>
      <c r="X33" s="31">
        <v>30</v>
      </c>
      <c r="Y33" s="30"/>
      <c r="Z33" s="30"/>
      <c r="AA33" s="30"/>
      <c r="AB33" s="30"/>
      <c r="AC33" s="31">
        <v>11</v>
      </c>
      <c r="AD33" s="32">
        <v>3500</v>
      </c>
      <c r="AE33" s="32">
        <v>113</v>
      </c>
      <c r="AF33" s="31">
        <v>3500</v>
      </c>
      <c r="AG33" s="31">
        <v>113</v>
      </c>
      <c r="AH33" s="30"/>
      <c r="AI33" s="30"/>
      <c r="AJ33" s="31">
        <v>331.18</v>
      </c>
      <c r="AK33" s="30"/>
      <c r="AL33" s="33">
        <v>3944.18</v>
      </c>
      <c r="AM33" s="31">
        <v>1445.2</v>
      </c>
      <c r="AN33" s="30"/>
      <c r="AO33" s="31">
        <v>119.72</v>
      </c>
      <c r="AP33" s="30"/>
      <c r="AQ33" s="31">
        <v>394.42</v>
      </c>
      <c r="AR33" s="31">
        <v>61.13</v>
      </c>
      <c r="AS33" s="31">
        <v>54.04</v>
      </c>
      <c r="AT33" s="31">
        <v>78.88</v>
      </c>
      <c r="AU33" s="31">
        <v>19.72</v>
      </c>
      <c r="AV33" s="33">
        <v>2173.11</v>
      </c>
      <c r="AW33" s="31">
        <v>354.98</v>
      </c>
      <c r="AX33" s="30"/>
      <c r="AY33" s="31">
        <v>27.61</v>
      </c>
      <c r="AZ33" s="31">
        <v>19.72</v>
      </c>
      <c r="BA33" s="31">
        <v>29.58</v>
      </c>
      <c r="BB33" s="31">
        <v>4.34</v>
      </c>
      <c r="BC33" s="31">
        <v>78.88</v>
      </c>
      <c r="BD33" s="33">
        <v>515.11</v>
      </c>
      <c r="BE33" s="33">
        <v>1771.07</v>
      </c>
    </row>
    <row r="34" spans="1:57" x14ac:dyDescent="0.2">
      <c r="A34" s="30">
        <v>28</v>
      </c>
      <c r="B34" s="45" t="s">
        <v>273</v>
      </c>
      <c r="C34" s="45" t="s">
        <v>274</v>
      </c>
      <c r="D34" s="30" t="s">
        <v>275</v>
      </c>
      <c r="E34" s="30" t="s">
        <v>276</v>
      </c>
      <c r="F34" s="30" t="s">
        <v>168</v>
      </c>
      <c r="G34" s="45" t="s">
        <v>64</v>
      </c>
      <c r="H34" s="45" t="s">
        <v>273</v>
      </c>
      <c r="I34" s="45" t="s">
        <v>65</v>
      </c>
      <c r="J34" s="47">
        <v>34104</v>
      </c>
      <c r="K34" s="30" t="s">
        <v>90</v>
      </c>
      <c r="L34" s="45" t="s">
        <v>67</v>
      </c>
      <c r="M34" s="45" t="s">
        <v>68</v>
      </c>
      <c r="N34" s="45" t="s">
        <v>69</v>
      </c>
      <c r="O34" s="30" t="s">
        <v>70</v>
      </c>
      <c r="P34" s="30" t="s">
        <v>71</v>
      </c>
      <c r="Q34" s="45" t="s">
        <v>72</v>
      </c>
      <c r="R34" s="45" t="s">
        <v>277</v>
      </c>
      <c r="S34" s="30" t="s">
        <v>74</v>
      </c>
      <c r="T34" s="30"/>
      <c r="U34" s="47">
        <v>45957</v>
      </c>
      <c r="V34" s="30"/>
      <c r="W34" s="30"/>
      <c r="X34" s="31">
        <v>30</v>
      </c>
      <c r="Y34" s="30"/>
      <c r="Z34" s="30"/>
      <c r="AA34" s="30"/>
      <c r="AB34" s="30"/>
      <c r="AC34" s="31">
        <v>11</v>
      </c>
      <c r="AD34" s="32">
        <v>3400</v>
      </c>
      <c r="AE34" s="32">
        <v>113</v>
      </c>
      <c r="AF34" s="31">
        <v>3400</v>
      </c>
      <c r="AG34" s="31">
        <v>113</v>
      </c>
      <c r="AH34" s="30"/>
      <c r="AI34" s="30"/>
      <c r="AJ34" s="31">
        <v>322.02999999999997</v>
      </c>
      <c r="AK34" s="30"/>
      <c r="AL34" s="33">
        <v>3835.03</v>
      </c>
      <c r="AM34" s="31">
        <v>1405.2</v>
      </c>
      <c r="AN34" s="31">
        <v>498.55</v>
      </c>
      <c r="AO34" s="31">
        <v>109.3</v>
      </c>
      <c r="AP34" s="30"/>
      <c r="AQ34" s="30"/>
      <c r="AR34" s="30"/>
      <c r="AS34" s="30"/>
      <c r="AT34" s="30"/>
      <c r="AU34" s="31">
        <v>19.18</v>
      </c>
      <c r="AV34" s="33">
        <v>2032.23</v>
      </c>
      <c r="AW34" s="31">
        <v>345.15</v>
      </c>
      <c r="AX34" s="30"/>
      <c r="AY34" s="31">
        <v>26.85</v>
      </c>
      <c r="AZ34" s="31">
        <v>19.18</v>
      </c>
      <c r="BA34" s="31">
        <v>28.76</v>
      </c>
      <c r="BB34" s="31">
        <v>4.22</v>
      </c>
      <c r="BC34" s="30"/>
      <c r="BD34" s="33">
        <v>424.16</v>
      </c>
      <c r="BE34" s="33">
        <v>1802.8</v>
      </c>
    </row>
    <row r="35" spans="1:57" x14ac:dyDescent="0.2">
      <c r="A35" s="35"/>
      <c r="B35" s="35"/>
      <c r="C35" s="35"/>
      <c r="D35" s="35"/>
      <c r="E35" s="35"/>
      <c r="F35" s="35"/>
      <c r="G35" s="48"/>
      <c r="H35" s="48"/>
      <c r="I35" s="48"/>
      <c r="J35" s="48"/>
      <c r="K35" s="35"/>
      <c r="L35" s="48"/>
      <c r="M35" s="48"/>
      <c r="N35" s="48"/>
      <c r="O35" s="35"/>
      <c r="P35" s="35"/>
      <c r="Q35" s="48"/>
      <c r="R35" s="48"/>
      <c r="S35" s="35"/>
      <c r="T35" s="35"/>
      <c r="U35" s="48"/>
      <c r="V35" s="35"/>
      <c r="W35" s="35"/>
      <c r="X35" s="36">
        <f t="shared" ref="X35" si="0">SUM(X7:X34)</f>
        <v>830</v>
      </c>
      <c r="Y35" s="36">
        <f t="shared" ref="Y35:BE35" si="1">SUM(Y7:Y34)</f>
        <v>3</v>
      </c>
      <c r="Z35" s="36">
        <f t="shared" si="1"/>
        <v>7</v>
      </c>
      <c r="AA35" s="36">
        <f t="shared" si="1"/>
        <v>12</v>
      </c>
      <c r="AB35" s="36">
        <f t="shared" si="1"/>
        <v>5</v>
      </c>
      <c r="AC35" s="36">
        <f t="shared" si="1"/>
        <v>319</v>
      </c>
      <c r="AD35" s="37">
        <f t="shared" si="1"/>
        <v>140650</v>
      </c>
      <c r="AE35" s="37">
        <f t="shared" si="1"/>
        <v>2034</v>
      </c>
      <c r="AF35" s="36">
        <f t="shared" si="1"/>
        <v>139398.33000000002</v>
      </c>
      <c r="AG35" s="36">
        <f t="shared" si="1"/>
        <v>2034</v>
      </c>
      <c r="AH35" s="36">
        <f t="shared" si="1"/>
        <v>217.85000000000002</v>
      </c>
      <c r="AI35" s="36">
        <f t="shared" si="1"/>
        <v>97.460000000000008</v>
      </c>
      <c r="AJ35" s="36">
        <f t="shared" si="1"/>
        <v>11636.840000000002</v>
      </c>
      <c r="AK35" s="36">
        <f t="shared" si="1"/>
        <v>446.66999999999996</v>
      </c>
      <c r="AL35" s="36">
        <f t="shared" si="1"/>
        <v>153831.14999999997</v>
      </c>
      <c r="AM35" s="36">
        <f t="shared" si="1"/>
        <v>57073.599999999977</v>
      </c>
      <c r="AN35" s="36">
        <f t="shared" si="1"/>
        <v>4907.1900000000005</v>
      </c>
      <c r="AO35" s="36">
        <f t="shared" si="1"/>
        <v>10374.99</v>
      </c>
      <c r="AP35" s="36">
        <f t="shared" si="1"/>
        <v>114</v>
      </c>
      <c r="AQ35" s="36">
        <f t="shared" si="1"/>
        <v>11608.359999999999</v>
      </c>
      <c r="AR35" s="36">
        <f t="shared" si="1"/>
        <v>554.00000000000011</v>
      </c>
      <c r="AS35" s="36">
        <f t="shared" si="1"/>
        <v>1482.0499999999997</v>
      </c>
      <c r="AT35" s="36">
        <f t="shared" si="1"/>
        <v>2321.66</v>
      </c>
      <c r="AU35" s="36">
        <f t="shared" si="1"/>
        <v>769.18999999999994</v>
      </c>
      <c r="AV35" s="36">
        <f t="shared" si="1"/>
        <v>89205.040000000023</v>
      </c>
      <c r="AW35" s="36">
        <f t="shared" si="1"/>
        <v>11856.949999999999</v>
      </c>
      <c r="AX35" s="36">
        <f t="shared" si="1"/>
        <v>1987.8300000000002</v>
      </c>
      <c r="AY35" s="36">
        <f t="shared" si="1"/>
        <v>1021.47</v>
      </c>
      <c r="AZ35" s="36">
        <f t="shared" si="1"/>
        <v>769.18999999999994</v>
      </c>
      <c r="BA35" s="36">
        <f t="shared" si="1"/>
        <v>1153.72</v>
      </c>
      <c r="BB35" s="36">
        <f t="shared" si="1"/>
        <v>217.52999999999997</v>
      </c>
      <c r="BC35" s="36">
        <f t="shared" si="1"/>
        <v>2321.66</v>
      </c>
      <c r="BD35" s="36">
        <f t="shared" si="1"/>
        <v>19328.350000000002</v>
      </c>
      <c r="BE35" s="36">
        <f t="shared" si="1"/>
        <v>64626.109999999986</v>
      </c>
    </row>
    <row r="36" spans="1:57" ht="10.8" thickBot="1" x14ac:dyDescent="0.25"/>
    <row r="37" spans="1:57" ht="15.75" customHeight="1" thickBot="1" x14ac:dyDescent="0.25">
      <c r="B37" s="1" t="s">
        <v>278</v>
      </c>
      <c r="C37" s="2"/>
      <c r="D37" s="3"/>
    </row>
    <row r="38" spans="1:57" x14ac:dyDescent="0.2">
      <c r="B38" s="4" t="s">
        <v>279</v>
      </c>
      <c r="C38" s="5"/>
      <c r="D38" s="6">
        <v>28</v>
      </c>
      <c r="BC38" s="7" t="s">
        <v>280</v>
      </c>
      <c r="BD38" s="8"/>
      <c r="BE38" s="9" t="s">
        <v>281</v>
      </c>
    </row>
    <row r="39" spans="1:57" x14ac:dyDescent="0.2">
      <c r="B39" s="10" t="s">
        <v>282</v>
      </c>
      <c r="C39" s="11"/>
      <c r="D39" s="12">
        <v>0</v>
      </c>
      <c r="BC39" s="13" t="s">
        <v>283</v>
      </c>
      <c r="BD39" s="14" t="s">
        <v>81</v>
      </c>
      <c r="BE39" s="15">
        <f>+SUMIF($Q$7:$Q$34,BD39,$BE$7:$BE$34)-BE41</f>
        <v>46100.719999999994</v>
      </c>
    </row>
    <row r="40" spans="1:57" x14ac:dyDescent="0.2">
      <c r="B40" s="10" t="s">
        <v>284</v>
      </c>
      <c r="C40" s="11"/>
      <c r="D40" s="16">
        <v>0</v>
      </c>
      <c r="BC40" s="13" t="s">
        <v>285</v>
      </c>
      <c r="BD40" s="14" t="s">
        <v>72</v>
      </c>
      <c r="BE40" s="15">
        <f>+SUMIF($Q$7:$Q$34,BD40,$BE$7:$BE$34)-BE42</f>
        <v>18525.39</v>
      </c>
    </row>
    <row r="41" spans="1:57" x14ac:dyDescent="0.2">
      <c r="B41" s="10" t="s">
        <v>286</v>
      </c>
      <c r="C41" s="11"/>
      <c r="D41" s="16">
        <v>0</v>
      </c>
      <c r="BC41" s="17" t="s">
        <v>287</v>
      </c>
      <c r="BD41" s="18" t="s">
        <v>81</v>
      </c>
      <c r="BE41" s="19"/>
    </row>
    <row r="42" spans="1:57" x14ac:dyDescent="0.2">
      <c r="B42" s="10" t="s">
        <v>288</v>
      </c>
      <c r="C42" s="11"/>
      <c r="D42" s="16">
        <v>0</v>
      </c>
      <c r="BC42" s="17" t="s">
        <v>287</v>
      </c>
      <c r="BD42" s="18" t="s">
        <v>72</v>
      </c>
      <c r="BE42" s="20"/>
    </row>
    <row r="43" spans="1:57" ht="10.8" thickBot="1" x14ac:dyDescent="0.25">
      <c r="B43" s="21" t="s">
        <v>289</v>
      </c>
      <c r="C43" s="22"/>
      <c r="D43" s="23">
        <f>+D38+D39-D40+D41-D42</f>
        <v>28</v>
      </c>
      <c r="BC43" s="24" t="s">
        <v>290</v>
      </c>
      <c r="BD43" s="38"/>
      <c r="BE43" s="25">
        <f>SUM(BE39:BE42)</f>
        <v>64626.109999999993</v>
      </c>
    </row>
  </sheetData>
  <autoFilter ref="A6:BF6" xr:uid="{0992F09A-21AD-42F6-87BF-052B907FFC42}"/>
  <mergeCells count="2">
    <mergeCell ref="A4:D4"/>
    <mergeCell ref="B37:D37"/>
  </mergeCells>
  <pageMargins left="0.75" right="0.75" top="0.75" bottom="0.5" header="0.5" footer="0.75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14DD192BD246E4C8CF546502EE6DB75" ma:contentTypeVersion="19" ma:contentTypeDescription="Crear nuevo documento." ma:contentTypeScope="" ma:versionID="7194e8249a460d558e6d8817eb120936">
  <xsd:schema xmlns:xsd="http://www.w3.org/2001/XMLSchema" xmlns:xs="http://www.w3.org/2001/XMLSchema" xmlns:p="http://schemas.microsoft.com/office/2006/metadata/properties" xmlns:ns2="b7c6eafc-7d12-41dd-9be1-0a94e4190535" xmlns:ns3="a4ddeba7-b704-4ecc-adcd-5e003fb65ef3" xmlns:ns4="6e83e254-8e92-469a-92ff-1764cfa2436f" targetNamespace="http://schemas.microsoft.com/office/2006/metadata/properties" ma:root="true" ma:fieldsID="26bfae507bbceb65449785999f1bdf2b" ns2:_="" ns3:_="" ns4:_="">
    <xsd:import namespace="b7c6eafc-7d12-41dd-9be1-0a94e4190535"/>
    <xsd:import namespace="a4ddeba7-b704-4ecc-adcd-5e003fb65ef3"/>
    <xsd:import namespace="6e83e254-8e92-469a-92ff-1764cfa243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Location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c6eafc-7d12-41dd-9be1-0a94e41905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ddeba7-b704-4ecc-adcd-5e003fb65ef3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83e254-8e92-469a-92ff-1764cfa2436f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69794e42-65c8-4d51-b281-04e80a2b6c05}" ma:internalName="TaxCatchAll" ma:showField="CatchAllData" ma:web="6e83e254-8e92-469a-92ff-1764cfa2436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e83e254-8e92-469a-92ff-1764cfa2436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DFFA1A6-D11B-4E9B-9D96-0547197CC7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7c6eafc-7d12-41dd-9be1-0a94e4190535"/>
    <ds:schemaRef ds:uri="a4ddeba7-b704-4ecc-adcd-5e003fb65ef3"/>
    <ds:schemaRef ds:uri="6e83e254-8e92-469a-92ff-1764cfa2436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3A32640-084E-4604-B4EF-8B04CDF28572}">
  <ds:schemaRefs>
    <ds:schemaRef ds:uri="http://schemas.microsoft.com/office/2006/metadata/properties"/>
    <ds:schemaRef ds:uri="http://schemas.microsoft.com/office/infopath/2007/PartnerControls"/>
    <ds:schemaRef ds:uri="6e83e254-8e92-469a-92ff-1764cfa2436f"/>
  </ds:schemaRefs>
</ds:datastoreItem>
</file>

<file path=customXml/itemProps3.xml><?xml version="1.0" encoding="utf-8"?>
<ds:datastoreItem xmlns:ds="http://schemas.openxmlformats.org/officeDocument/2006/customXml" ds:itemID="{FBE5E830-DBF9-44E7-8056-BFAAF5FEC308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cf94ec86-1971-49f7-9cf6-852f05b3fa8c}" enabled="1" method="Privileged" siteId="{5c5456f4-c402-40c5-a73d-e78777e7bf9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Resumen</vt:lpstr>
      <vt:lpstr>Planilla</vt:lpstr>
      <vt:lpstr>Comparativo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 Zevallos Correa</dc:creator>
  <cp:lastModifiedBy>Yoly Cuba</cp:lastModifiedBy>
  <dcterms:created xsi:type="dcterms:W3CDTF">2026-01-28T06:54:17Z</dcterms:created>
  <dcterms:modified xsi:type="dcterms:W3CDTF">2026-01-29T20:18:55Z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0x010100114DD192BD246E4C8CF546502EE6DB75</vt:lpwstr>
  </property>
</Properties>
</file>