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so-my.sharepoint.com/personal/ricardo_uculmana_metso_com/Documents/Documents/Laboratorio/2. Reportabilidad/REPORTABILIDAD/Licencias/"/>
    </mc:Choice>
  </mc:AlternateContent>
  <xr:revisionPtr revIDLastSave="31" documentId="13_ncr:1_{4257B898-5764-4710-8166-8FEEE7D4BD3D}" xr6:coauthVersionLast="47" xr6:coauthVersionMax="47" xr10:uidLastSave="{C653813E-7E13-44B1-B8E4-A726B57E7524}"/>
  <bookViews>
    <workbookView xWindow="-110" yWindow="-110" windowWidth="19420" windowHeight="11500" xr2:uid="{B1F92B5B-2332-4D20-A1A7-56D172273517}"/>
  </bookViews>
  <sheets>
    <sheet name="LICENCIA CON GOCE" sheetId="1" r:id="rId1"/>
    <sheet name="LICENCIA SIN GOCE" sheetId="2" r:id="rId2"/>
  </sheets>
  <definedNames>
    <definedName name="_xlnm._FilterDatabase" localSheetId="0" hidden="1">'LICENCIA CON GOCE'!$A$2:$L$45</definedName>
    <definedName name="_xlnm._FilterDatabase" localSheetId="1" hidden="1">'LICENCIA SIN GOCE'!$A$2:$J$27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3" i="1"/>
  <c r="I4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</calcChain>
</file>

<file path=xl/sharedStrings.xml><?xml version="1.0" encoding="utf-8"?>
<sst xmlns="http://schemas.openxmlformats.org/spreadsheetml/2006/main" count="571" uniqueCount="286">
  <si>
    <t>PERIODO</t>
  </si>
  <si>
    <t>AÑO</t>
  </si>
  <si>
    <t>MES</t>
  </si>
  <si>
    <t>NOMBRE_MES</t>
  </si>
  <si>
    <t>DNI/CEX</t>
  </si>
  <si>
    <t>DIAS GOCE HABER(D)</t>
  </si>
  <si>
    <t>DIAS DIST.LIC.S.GH</t>
  </si>
  <si>
    <t>2025-01</t>
  </si>
  <si>
    <t>2025</t>
  </si>
  <si>
    <t>Enero</t>
  </si>
  <si>
    <t>43568076</t>
  </si>
  <si>
    <t>40790788</t>
  </si>
  <si>
    <t>20421157</t>
  </si>
  <si>
    <t>40143501</t>
  </si>
  <si>
    <t>2025-02</t>
  </si>
  <si>
    <t>Febrero</t>
  </si>
  <si>
    <t>41222839</t>
  </si>
  <si>
    <t>2025-03</t>
  </si>
  <si>
    <t>Marzo</t>
  </si>
  <si>
    <t>44802665</t>
  </si>
  <si>
    <t>70931111</t>
  </si>
  <si>
    <t>73479941</t>
  </si>
  <si>
    <t>45207755</t>
  </si>
  <si>
    <t>61181944</t>
  </si>
  <si>
    <t>70326249</t>
  </si>
  <si>
    <t>2025-04</t>
  </si>
  <si>
    <t>Abril</t>
  </si>
  <si>
    <t>43133849</t>
  </si>
  <si>
    <t>43885353</t>
  </si>
  <si>
    <t>72529463</t>
  </si>
  <si>
    <t>2025-05</t>
  </si>
  <si>
    <t>Mayo</t>
  </si>
  <si>
    <t>47449728</t>
  </si>
  <si>
    <t>09810715</t>
  </si>
  <si>
    <t>29709018</t>
  </si>
  <si>
    <t>45694262</t>
  </si>
  <si>
    <t>05344299</t>
  </si>
  <si>
    <t>47745158</t>
  </si>
  <si>
    <t>2025-06</t>
  </si>
  <si>
    <t>Junio</t>
  </si>
  <si>
    <t>70500827</t>
  </si>
  <si>
    <t>44537863</t>
  </si>
  <si>
    <t>43695746</t>
  </si>
  <si>
    <t>2025-07</t>
  </si>
  <si>
    <t>Julio</t>
  </si>
  <si>
    <t>44410511</t>
  </si>
  <si>
    <t>60075325</t>
  </si>
  <si>
    <t>43512697</t>
  </si>
  <si>
    <t>03889263</t>
  </si>
  <si>
    <t>43242590</t>
  </si>
  <si>
    <t>2025-08</t>
  </si>
  <si>
    <t>Agosto</t>
  </si>
  <si>
    <t>00456652</t>
  </si>
  <si>
    <t>09278850</t>
  </si>
  <si>
    <t>2025-09</t>
  </si>
  <si>
    <t>Septiembre</t>
  </si>
  <si>
    <t>42300559</t>
  </si>
  <si>
    <t>2025-10</t>
  </si>
  <si>
    <t>Octubre</t>
  </si>
  <si>
    <t>42741850</t>
  </si>
  <si>
    <t>80199738</t>
  </si>
  <si>
    <t>2025-11</t>
  </si>
  <si>
    <t>Noviembre</t>
  </si>
  <si>
    <t>71690188</t>
  </si>
  <si>
    <t>72226540</t>
  </si>
  <si>
    <t>70007190</t>
  </si>
  <si>
    <t>46714178</t>
  </si>
  <si>
    <t>2025-12</t>
  </si>
  <si>
    <t>Diciembre</t>
  </si>
  <si>
    <t>43450703</t>
  </si>
  <si>
    <t>APELLIDO PATERNO</t>
  </si>
  <si>
    <t>APELLIDO MATERNO</t>
  </si>
  <si>
    <t>NOMBRES</t>
  </si>
  <si>
    <t>ATACHAGUA</t>
  </si>
  <si>
    <t>GALARZA</t>
  </si>
  <si>
    <t>NATALI YDALIA</t>
  </si>
  <si>
    <t>GAROFOLIN</t>
  </si>
  <si>
    <t>LAY</t>
  </si>
  <si>
    <t>GIOVANNI ANTONIO</t>
  </si>
  <si>
    <t>NINANYA</t>
  </si>
  <si>
    <t>LAUREANO</t>
  </si>
  <si>
    <t>ALBERTO ATILIO</t>
  </si>
  <si>
    <t>VILLAFUERTE</t>
  </si>
  <si>
    <t>MENDOZA</t>
  </si>
  <si>
    <t>ALEJANDRO MANUEL</t>
  </si>
  <si>
    <t>VALQUI</t>
  </si>
  <si>
    <t>DURAN</t>
  </si>
  <si>
    <t>CARLOS</t>
  </si>
  <si>
    <t>CUELA</t>
  </si>
  <si>
    <t>HUARHUA</t>
  </si>
  <si>
    <t>ALEXANDER LEE JUNIOR</t>
  </si>
  <si>
    <t>LUJAN</t>
  </si>
  <si>
    <t>HUAMAN</t>
  </si>
  <si>
    <t>JULIO CESAR</t>
  </si>
  <si>
    <t>MEDINA</t>
  </si>
  <si>
    <t>MAMANI</t>
  </si>
  <si>
    <t>KATHERINE JESSENIA</t>
  </si>
  <si>
    <t>MORENO</t>
  </si>
  <si>
    <t>CAYANI</t>
  </si>
  <si>
    <t>MARCO ANTONIO</t>
  </si>
  <si>
    <t>TRUJILLO</t>
  </si>
  <si>
    <t>PORTOCARRERO</t>
  </si>
  <si>
    <t>LUZ CAROLINA</t>
  </si>
  <si>
    <t>VARGAS</t>
  </si>
  <si>
    <t>VILLANUEVA</t>
  </si>
  <si>
    <t>JEAN PIERRE YOEL</t>
  </si>
  <si>
    <t>HUAYANE</t>
  </si>
  <si>
    <t>VICTOR EDUARDO</t>
  </si>
  <si>
    <t>SANTIAGO</t>
  </si>
  <si>
    <t>LAVADO</t>
  </si>
  <si>
    <t>JORGE ARTURO</t>
  </si>
  <si>
    <t>TICONA</t>
  </si>
  <si>
    <t>FIGUEROA</t>
  </si>
  <si>
    <t>JOEL  ALVARO</t>
  </si>
  <si>
    <t>AROSTEGUI</t>
  </si>
  <si>
    <t>CARRERA</t>
  </si>
  <si>
    <t>DUSSAN</t>
  </si>
  <si>
    <t>LAULATE</t>
  </si>
  <si>
    <t>GUERRA</t>
  </si>
  <si>
    <t>DARVIN</t>
  </si>
  <si>
    <t>PRETEL</t>
  </si>
  <si>
    <t>CHICLAYO</t>
  </si>
  <si>
    <t>JUAN RODEL</t>
  </si>
  <si>
    <t>QUISPE</t>
  </si>
  <si>
    <t>SUASACA</t>
  </si>
  <si>
    <t>SANTOS FROILAN</t>
  </si>
  <si>
    <t>ROSELL</t>
  </si>
  <si>
    <t>CAMPOS</t>
  </si>
  <si>
    <t>JOSE ALBERTO</t>
  </si>
  <si>
    <t>VELASQUEZ</t>
  </si>
  <si>
    <t>NAVARRO</t>
  </si>
  <si>
    <t>HENRY</t>
  </si>
  <si>
    <t>ZAVALETA</t>
  </si>
  <si>
    <t>CUEVA</t>
  </si>
  <si>
    <t>RENATO ANDRE</t>
  </si>
  <si>
    <t>CHACÓN</t>
  </si>
  <si>
    <t>MENDIOLA</t>
  </si>
  <si>
    <t>CLAUDIA MONSERRATTE</t>
  </si>
  <si>
    <t>MANCO</t>
  </si>
  <si>
    <t>PETREUCIC</t>
  </si>
  <si>
    <t>LIZ YODY</t>
  </si>
  <si>
    <t>SALAS</t>
  </si>
  <si>
    <t>KARINA ROSARIO</t>
  </si>
  <si>
    <t>CARRANZA</t>
  </si>
  <si>
    <t>CABALLERO</t>
  </si>
  <si>
    <t>CESAR ABRAHAM</t>
  </si>
  <si>
    <t>COSME</t>
  </si>
  <si>
    <t>ITO</t>
  </si>
  <si>
    <t>FRANCO GUSTAVO</t>
  </si>
  <si>
    <t>CYRAN</t>
  </si>
  <si>
    <t>PEREZ</t>
  </si>
  <si>
    <t>JONATHAN ROLANDO</t>
  </si>
  <si>
    <t>FERRER</t>
  </si>
  <si>
    <t>SILVA</t>
  </si>
  <si>
    <t>FRANKLIM JOSE</t>
  </si>
  <si>
    <t>MORILLO</t>
  </si>
  <si>
    <t>SANTA CRUZ</t>
  </si>
  <si>
    <t>KATIA PATRICIA</t>
  </si>
  <si>
    <t>MACEDO</t>
  </si>
  <si>
    <t>CHEVARRIA</t>
  </si>
  <si>
    <t>GUILLERMO</t>
  </si>
  <si>
    <t>SEQUEIROS</t>
  </si>
  <si>
    <t>MEZA</t>
  </si>
  <si>
    <t>RAUL</t>
  </si>
  <si>
    <t>CASTILLO</t>
  </si>
  <si>
    <t>BENDEZU</t>
  </si>
  <si>
    <t>ENRIQUE NICHOLAS</t>
  </si>
  <si>
    <t>SERRANO</t>
  </si>
  <si>
    <t>FELICITAS MERCEDES</t>
  </si>
  <si>
    <t>VIZCARRA</t>
  </si>
  <si>
    <t>RODRIGUEZ</t>
  </si>
  <si>
    <t>JAIME ALBERTO</t>
  </si>
  <si>
    <t>CEDAMANOS</t>
  </si>
  <si>
    <t>CUENCA</t>
  </si>
  <si>
    <t>ROGER OMAR</t>
  </si>
  <si>
    <t>CONDORI</t>
  </si>
  <si>
    <t>LARICO</t>
  </si>
  <si>
    <t>JEAN MARCO</t>
  </si>
  <si>
    <t>KINDLIMANN</t>
  </si>
  <si>
    <t>URIA</t>
  </si>
  <si>
    <t>FRANCESCA</t>
  </si>
  <si>
    <t>RIVERA</t>
  </si>
  <si>
    <t>RAMOS</t>
  </si>
  <si>
    <t>RICARDO DINAMITA</t>
  </si>
  <si>
    <t>CHAMBI</t>
  </si>
  <si>
    <t>RICHARD STEVE</t>
  </si>
  <si>
    <t>70379859</t>
  </si>
  <si>
    <t>77169394</t>
  </si>
  <si>
    <t>48599856</t>
  </si>
  <si>
    <t>71013820</t>
  </si>
  <si>
    <t>73511328</t>
  </si>
  <si>
    <t>47554972</t>
  </si>
  <si>
    <t>70501359</t>
  </si>
  <si>
    <t>04745851</t>
  </si>
  <si>
    <t>43570428</t>
  </si>
  <si>
    <t>46675958</t>
  </si>
  <si>
    <t>43559733</t>
  </si>
  <si>
    <t>46320957</t>
  </si>
  <si>
    <t>48078465</t>
  </si>
  <si>
    <t>42085677</t>
  </si>
  <si>
    <t>21121360</t>
  </si>
  <si>
    <t>41787209</t>
  </si>
  <si>
    <t>46468417</t>
  </si>
  <si>
    <t>72507716</t>
  </si>
  <si>
    <t>44528260</t>
  </si>
  <si>
    <t>44639126</t>
  </si>
  <si>
    <t>44024870</t>
  </si>
  <si>
    <t>44140977</t>
  </si>
  <si>
    <t>LOPEZ</t>
  </si>
  <si>
    <t>HERRERA</t>
  </si>
  <si>
    <t>DIEGO ALBERTO</t>
  </si>
  <si>
    <t>SANDOVAL</t>
  </si>
  <si>
    <t>CAVIEDES</t>
  </si>
  <si>
    <t>DIEGO EDUARDO</t>
  </si>
  <si>
    <t>YUPANQUI</t>
  </si>
  <si>
    <t>CAÑA</t>
  </si>
  <si>
    <t>RODOLFO</t>
  </si>
  <si>
    <t>ANDRADE</t>
  </si>
  <si>
    <t>CORIMANYA</t>
  </si>
  <si>
    <t>JASON JOSE</t>
  </si>
  <si>
    <t>HUANCA</t>
  </si>
  <si>
    <t>ELMER</t>
  </si>
  <si>
    <t>ORDOÑEZ</t>
  </si>
  <si>
    <t>PAZ</t>
  </si>
  <si>
    <t>JAYDER IRVIN</t>
  </si>
  <si>
    <t>BENDEZÚ</t>
  </si>
  <si>
    <t>HECTOR  JOSUÉ</t>
  </si>
  <si>
    <t>FELICIANO</t>
  </si>
  <si>
    <t>FLORES</t>
  </si>
  <si>
    <t>SIMON EPISMENIO</t>
  </si>
  <si>
    <t>NINA</t>
  </si>
  <si>
    <t>CANAZA</t>
  </si>
  <si>
    <t>WILBER</t>
  </si>
  <si>
    <t>SOSA</t>
  </si>
  <si>
    <t>JUAN CARLOS</t>
  </si>
  <si>
    <t>PRADO</t>
  </si>
  <si>
    <t>MALABRIGO</t>
  </si>
  <si>
    <t>HERBERT GABRIEL</t>
  </si>
  <si>
    <t>ROBERTO EDON</t>
  </si>
  <si>
    <t>SONCO</t>
  </si>
  <si>
    <t>MARVIN RUDY</t>
  </si>
  <si>
    <t>CALLA</t>
  </si>
  <si>
    <t>LOPEZ TORRES</t>
  </si>
  <si>
    <t>MILTON PAUL</t>
  </si>
  <si>
    <t>TORRES</t>
  </si>
  <si>
    <t>ESCOBAR</t>
  </si>
  <si>
    <t>GUILLERMO HERMINIO</t>
  </si>
  <si>
    <t>AEDO</t>
  </si>
  <si>
    <t>QUIROZ</t>
  </si>
  <si>
    <t>DANIEL ALEXIS</t>
  </si>
  <si>
    <t>ALEJANDRO</t>
  </si>
  <si>
    <t>ORELLANA</t>
  </si>
  <si>
    <t>BRAULIO</t>
  </si>
  <si>
    <t>BLAS</t>
  </si>
  <si>
    <t>LUCERO</t>
  </si>
  <si>
    <t>ELMER ENRIQUE</t>
  </si>
  <si>
    <t>CHAMORRO</t>
  </si>
  <si>
    <t>ACOSTA</t>
  </si>
  <si>
    <t>CESAR JONATHAN</t>
  </si>
  <si>
    <t>MANTILLA</t>
  </si>
  <si>
    <t>ALCANTARA</t>
  </si>
  <si>
    <t>ENRIQUE</t>
  </si>
  <si>
    <t>CUBA</t>
  </si>
  <si>
    <t>HEBER JUAN</t>
  </si>
  <si>
    <t>HERREROS</t>
  </si>
  <si>
    <t>HUAMANI</t>
  </si>
  <si>
    <t>DANIEL WILBER</t>
  </si>
  <si>
    <t>MOTIVO DE LIC.S.G.H</t>
  </si>
  <si>
    <t>MOTIVO DE LIC.CON GOCE</t>
  </si>
  <si>
    <t>MOTIVO</t>
  </si>
  <si>
    <t xml:space="preserve">PATERNIDAD </t>
  </si>
  <si>
    <t>MATRIMONIO</t>
  </si>
  <si>
    <t>CUMPLEAÑOS</t>
  </si>
  <si>
    <t>SALUD</t>
  </si>
  <si>
    <t>NOMBRES COMPLETOS</t>
  </si>
  <si>
    <t>LICENCIA CON GOCE</t>
  </si>
  <si>
    <t>SUSPENSIÓN</t>
  </si>
  <si>
    <t>PERSONALES</t>
  </si>
  <si>
    <t>REINCORPORACIÓN</t>
  </si>
  <si>
    <t>F. INGRESO</t>
  </si>
  <si>
    <t>SUSPENSIÓN PAGADA</t>
  </si>
  <si>
    <t>CARTA DE NO RENOVACIÓN, INDICACIÓN GERENCIA</t>
  </si>
  <si>
    <t>ASISTENCIA FAMILIAR</t>
  </si>
  <si>
    <t>PERMISO</t>
  </si>
  <si>
    <t>ESTUDIOS</t>
  </si>
  <si>
    <t>FALLECIMIENTO DE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</si>
</sst>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92D050"/>
        <bgColor rgb="FF366092"/>
      </patternFill>
    </fill>
    <fill>
      <patternFill patternType="solid">
        <fgColor rgb="FF00B0F0"/>
        <bgColor rgb="FF366092"/>
      </patternFill>
    </fill>
    <fill>
      <patternFill patternType="solid">
        <fgColor theme="8" tint="0.39997558519241921"/>
        <bgColor rgb="FF366092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2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14BD-3DC4-49FD-8B17-E6C043248D50}">
  <dimension ref="A2:P45"/>
  <sheetViews>
    <sheetView tabSelected="1" zoomScale="80" zoomScaleNormal="80" workbookViewId="0">
      <selection activeCell="L16" sqref="L16"/>
    </sheetView>
  </sheetViews>
  <sheetFormatPr baseColWidth="10" defaultRowHeight="14.5" x14ac:dyDescent="0.35"/>
  <cols>
    <col min="1" max="1" width="10.90625" customWidth="1"/>
    <col min="2" max="2" width="7.81640625" customWidth="1"/>
    <col min="3" max="3" width="8.90625" customWidth="1"/>
    <col min="4" max="4" width="10.90625" customWidth="1"/>
    <col min="6" max="6" width="14.36328125" customWidth="1"/>
    <col min="7" max="7" width="13.6328125" customWidth="1"/>
    <col min="8" max="8" width="20.81640625" customWidth="1"/>
    <col min="9" max="9" width="35.90625" customWidth="1"/>
    <col min="10" max="10" width="10.90625" customWidth="1"/>
    <col min="11" max="11" width="29.36328125" style="10" customWidth="1"/>
    <col min="12" max="12" width="14" customWidth="1"/>
  </cols>
  <sheetData>
    <row r="2" spans="1:16" ht="29" x14ac:dyDescent="0.35">
      <c r="A2" s="1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1" t="s">
        <v>70</v>
      </c>
      <c r="G2" s="1" t="s">
        <v>71</v>
      </c>
      <c r="H2" s="1" t="s">
        <v>72</v>
      </c>
      <c r="I2" s="1" t="s">
        <v>274</v>
      </c>
      <c r="J2" s="3" t="s">
        <v>5</v>
      </c>
      <c r="K2" s="8" t="s">
        <v>268</v>
      </c>
      <c r="L2" s="13" t="s">
        <v>279</v>
      </c>
    </row>
    <row r="3" spans="1:16" x14ac:dyDescent="0.35">
      <c r="A3" s="4" t="s">
        <v>30</v>
      </c>
      <c r="B3" s="4" t="s">
        <v>8</v>
      </c>
      <c r="C3" s="5">
        <v>5</v>
      </c>
      <c r="D3" s="4" t="s">
        <v>31</v>
      </c>
      <c r="E3" s="4">
        <v>43862216</v>
      </c>
      <c r="F3" s="4" t="s">
        <v>114</v>
      </c>
      <c r="G3" s="4" t="s">
        <v>115</v>
      </c>
      <c r="H3" s="4" t="s">
        <v>116</v>
      </c>
      <c r="I3" s="4" t="str">
        <f>CONCATENATE(F3," ",G3," ",H3)</f>
        <v>AROSTEGUI CARRERA DUSSAN</v>
      </c>
      <c r="J3" s="5">
        <v>1</v>
      </c>
      <c r="K3" s="12" t="s">
        <v>283</v>
      </c>
      <c r="P3" s="7" t="s">
        <v>269</v>
      </c>
    </row>
    <row r="4" spans="1:16" s="19" customFormat="1" x14ac:dyDescent="0.35">
      <c r="A4" s="4" t="s">
        <v>7</v>
      </c>
      <c r="B4" s="4" t="s">
        <v>8</v>
      </c>
      <c r="C4" s="5">
        <v>1</v>
      </c>
      <c r="D4" s="4" t="s">
        <v>9</v>
      </c>
      <c r="E4" s="15" t="s">
        <v>10</v>
      </c>
      <c r="F4" s="15" t="s">
        <v>73</v>
      </c>
      <c r="G4" s="15" t="s">
        <v>74</v>
      </c>
      <c r="H4" s="15" t="s">
        <v>75</v>
      </c>
      <c r="I4" s="15" t="str">
        <f t="shared" ref="I4:I44" si="0">CONCATENATE(F4," ",G4," ",H4)</f>
        <v>ATACHAGUA GALARZA NATALI YDALIA</v>
      </c>
      <c r="J4" s="16">
        <v>3</v>
      </c>
      <c r="K4" s="17" t="s">
        <v>285</v>
      </c>
      <c r="L4" s="18">
        <v>44571</v>
      </c>
      <c r="P4" s="19" t="s">
        <v>270</v>
      </c>
    </row>
    <row r="5" spans="1:16" x14ac:dyDescent="0.35">
      <c r="A5" s="4" t="s">
        <v>43</v>
      </c>
      <c r="B5" s="4" t="s">
        <v>8</v>
      </c>
      <c r="C5" s="5">
        <v>7</v>
      </c>
      <c r="D5" s="4" t="s">
        <v>44</v>
      </c>
      <c r="E5" s="4" t="s">
        <v>45</v>
      </c>
      <c r="F5" s="4" t="s">
        <v>143</v>
      </c>
      <c r="G5" s="4" t="s">
        <v>144</v>
      </c>
      <c r="H5" s="4" t="s">
        <v>145</v>
      </c>
      <c r="I5" s="4" t="str">
        <f t="shared" si="0"/>
        <v>CARRANZA CABALLERO CESAR ABRAHAM</v>
      </c>
      <c r="J5" s="5">
        <v>1</v>
      </c>
      <c r="K5" s="9" t="s">
        <v>272</v>
      </c>
      <c r="L5" s="14">
        <v>44746</v>
      </c>
      <c r="P5" t="s">
        <v>271</v>
      </c>
    </row>
    <row r="6" spans="1:16" x14ac:dyDescent="0.35">
      <c r="A6" s="4" t="s">
        <v>54</v>
      </c>
      <c r="B6" s="4" t="s">
        <v>8</v>
      </c>
      <c r="C6" s="5">
        <v>9</v>
      </c>
      <c r="D6" s="4" t="s">
        <v>55</v>
      </c>
      <c r="E6" s="4" t="s">
        <v>56</v>
      </c>
      <c r="F6" s="4" t="s">
        <v>164</v>
      </c>
      <c r="G6" s="4" t="s">
        <v>165</v>
      </c>
      <c r="H6" s="4" t="s">
        <v>166</v>
      </c>
      <c r="I6" s="4" t="str">
        <f t="shared" si="0"/>
        <v>CASTILLO BENDEZU ENRIQUE NICHOLAS</v>
      </c>
      <c r="J6" s="5">
        <v>5</v>
      </c>
      <c r="K6" s="9" t="s">
        <v>285</v>
      </c>
      <c r="L6" s="14">
        <v>45740</v>
      </c>
      <c r="P6" t="s">
        <v>272</v>
      </c>
    </row>
    <row r="7" spans="1:16" x14ac:dyDescent="0.35">
      <c r="A7" s="4" t="s">
        <v>61</v>
      </c>
      <c r="B7" s="4" t="s">
        <v>8</v>
      </c>
      <c r="C7" s="5">
        <v>11</v>
      </c>
      <c r="D7" s="4" t="s">
        <v>62</v>
      </c>
      <c r="E7" s="4" t="s">
        <v>63</v>
      </c>
      <c r="F7" s="4" t="s">
        <v>172</v>
      </c>
      <c r="G7" s="4" t="s">
        <v>173</v>
      </c>
      <c r="H7" s="4" t="s">
        <v>174</v>
      </c>
      <c r="I7" s="4" t="str">
        <f t="shared" si="0"/>
        <v>CEDAMANOS CUENCA ROGER OMAR</v>
      </c>
      <c r="J7" s="5">
        <v>1</v>
      </c>
      <c r="K7" s="9" t="s">
        <v>272</v>
      </c>
      <c r="L7" s="14">
        <v>44879</v>
      </c>
      <c r="P7" t="s">
        <v>273</v>
      </c>
    </row>
    <row r="8" spans="1:16" x14ac:dyDescent="0.35">
      <c r="A8" s="4" t="s">
        <v>38</v>
      </c>
      <c r="B8" s="4" t="s">
        <v>8</v>
      </c>
      <c r="C8" s="5">
        <v>6</v>
      </c>
      <c r="D8" s="4" t="s">
        <v>39</v>
      </c>
      <c r="E8" s="4" t="s">
        <v>40</v>
      </c>
      <c r="F8" s="4" t="s">
        <v>135</v>
      </c>
      <c r="G8" s="4" t="s">
        <v>136</v>
      </c>
      <c r="H8" s="4" t="s">
        <v>137</v>
      </c>
      <c r="I8" s="4" t="str">
        <f t="shared" si="0"/>
        <v>CHACÓN MENDIOLA CLAUDIA MONSERRATTE</v>
      </c>
      <c r="J8" s="5">
        <v>1</v>
      </c>
      <c r="K8" s="12" t="s">
        <v>282</v>
      </c>
      <c r="P8" t="s">
        <v>285</v>
      </c>
    </row>
    <row r="9" spans="1:16" x14ac:dyDescent="0.35">
      <c r="A9" s="4" t="s">
        <v>61</v>
      </c>
      <c r="B9" s="4" t="s">
        <v>8</v>
      </c>
      <c r="C9" s="5">
        <v>11</v>
      </c>
      <c r="D9" s="4" t="s">
        <v>62</v>
      </c>
      <c r="E9" s="4" t="s">
        <v>64</v>
      </c>
      <c r="F9" s="4" t="s">
        <v>175</v>
      </c>
      <c r="G9" s="4" t="s">
        <v>176</v>
      </c>
      <c r="H9" s="4" t="s">
        <v>177</v>
      </c>
      <c r="I9" s="4" t="str">
        <f t="shared" si="0"/>
        <v>CONDORI LARICO JEAN MARCO</v>
      </c>
      <c r="J9" s="5">
        <v>7</v>
      </c>
      <c r="K9" s="12" t="s">
        <v>278</v>
      </c>
    </row>
    <row r="10" spans="1:16" x14ac:dyDescent="0.35">
      <c r="A10" s="4" t="s">
        <v>43</v>
      </c>
      <c r="B10" s="4" t="s">
        <v>8</v>
      </c>
      <c r="C10" s="5">
        <v>7</v>
      </c>
      <c r="D10" s="4" t="s">
        <v>44</v>
      </c>
      <c r="E10" s="4" t="s">
        <v>46</v>
      </c>
      <c r="F10" s="4" t="s">
        <v>146</v>
      </c>
      <c r="G10" s="4" t="s">
        <v>147</v>
      </c>
      <c r="H10" s="4" t="s">
        <v>148</v>
      </c>
      <c r="I10" s="4" t="str">
        <f t="shared" si="0"/>
        <v>COSME ITO FRANCO GUSTAVO</v>
      </c>
      <c r="J10" s="5">
        <v>1</v>
      </c>
      <c r="K10" s="9" t="s">
        <v>285</v>
      </c>
    </row>
    <row r="11" spans="1:16" x14ac:dyDescent="0.35">
      <c r="A11" s="4" t="s">
        <v>17</v>
      </c>
      <c r="B11" s="4" t="s">
        <v>8</v>
      </c>
      <c r="C11" s="5">
        <v>3</v>
      </c>
      <c r="D11" s="4" t="s">
        <v>18</v>
      </c>
      <c r="E11" s="4" t="s">
        <v>19</v>
      </c>
      <c r="F11" s="4" t="s">
        <v>88</v>
      </c>
      <c r="G11" s="4" t="s">
        <v>89</v>
      </c>
      <c r="H11" s="4" t="s">
        <v>90</v>
      </c>
      <c r="I11" s="4" t="str">
        <f t="shared" si="0"/>
        <v>CUELA HUARHUA ALEXANDER LEE JUNIOR</v>
      </c>
      <c r="J11" s="5">
        <v>2</v>
      </c>
      <c r="K11" s="10" t="s">
        <v>271</v>
      </c>
    </row>
    <row r="12" spans="1:16" x14ac:dyDescent="0.35">
      <c r="A12" s="4" t="s">
        <v>43</v>
      </c>
      <c r="B12" s="4" t="s">
        <v>8</v>
      </c>
      <c r="C12" s="5">
        <v>7</v>
      </c>
      <c r="D12" s="4" t="s">
        <v>44</v>
      </c>
      <c r="E12" s="4" t="s">
        <v>47</v>
      </c>
      <c r="F12" s="4" t="s">
        <v>149</v>
      </c>
      <c r="G12" s="4" t="s">
        <v>150</v>
      </c>
      <c r="H12" s="4" t="s">
        <v>151</v>
      </c>
      <c r="I12" s="4" t="str">
        <f t="shared" si="0"/>
        <v>CYRAN PEREZ JONATHAN ROLANDO</v>
      </c>
      <c r="J12" s="5">
        <v>2</v>
      </c>
      <c r="K12" s="9" t="s">
        <v>283</v>
      </c>
      <c r="L12" s="14">
        <v>45481</v>
      </c>
    </row>
    <row r="13" spans="1:16" x14ac:dyDescent="0.35">
      <c r="A13" s="4" t="s">
        <v>43</v>
      </c>
      <c r="B13" s="4" t="s">
        <v>8</v>
      </c>
      <c r="C13" s="5">
        <v>7</v>
      </c>
      <c r="D13" s="4" t="s">
        <v>44</v>
      </c>
      <c r="E13" s="4" t="s">
        <v>48</v>
      </c>
      <c r="F13" s="4" t="s">
        <v>152</v>
      </c>
      <c r="G13" s="4" t="s">
        <v>153</v>
      </c>
      <c r="H13" s="4" t="s">
        <v>154</v>
      </c>
      <c r="I13" s="4" t="str">
        <f t="shared" si="0"/>
        <v>FERRER SILVA FRANKLIM JOSE</v>
      </c>
      <c r="J13" s="5">
        <v>5</v>
      </c>
      <c r="K13" s="9" t="s">
        <v>285</v>
      </c>
    </row>
    <row r="14" spans="1:16" s="19" customFormat="1" x14ac:dyDescent="0.35">
      <c r="A14" s="4" t="s">
        <v>7</v>
      </c>
      <c r="B14" s="4" t="s">
        <v>8</v>
      </c>
      <c r="C14" s="5">
        <v>1</v>
      </c>
      <c r="D14" s="4" t="s">
        <v>9</v>
      </c>
      <c r="E14" s="15" t="s">
        <v>11</v>
      </c>
      <c r="F14" s="15" t="s">
        <v>76</v>
      </c>
      <c r="G14" s="15" t="s">
        <v>77</v>
      </c>
      <c r="H14" s="15" t="s">
        <v>78</v>
      </c>
      <c r="I14" s="15" t="str">
        <f t="shared" si="0"/>
        <v>GAROFOLIN LAY GIOVANNI ANTONIO</v>
      </c>
      <c r="J14" s="16">
        <v>8</v>
      </c>
      <c r="K14" s="17" t="s">
        <v>280</v>
      </c>
      <c r="L14" s="18">
        <v>44746</v>
      </c>
    </row>
    <row r="15" spans="1:16" x14ac:dyDescent="0.35">
      <c r="A15" s="4" t="s">
        <v>61</v>
      </c>
      <c r="B15" s="4" t="s">
        <v>8</v>
      </c>
      <c r="C15" s="5">
        <v>11</v>
      </c>
      <c r="D15" s="4" t="s">
        <v>62</v>
      </c>
      <c r="E15" s="4" t="s">
        <v>65</v>
      </c>
      <c r="F15" s="4" t="s">
        <v>178</v>
      </c>
      <c r="G15" s="4" t="s">
        <v>179</v>
      </c>
      <c r="H15" s="4" t="s">
        <v>180</v>
      </c>
      <c r="I15" s="4" t="str">
        <f t="shared" si="0"/>
        <v>KINDLIMANN URIA FRANCESCA</v>
      </c>
      <c r="J15" s="5">
        <v>2</v>
      </c>
      <c r="K15" s="10" t="s">
        <v>271</v>
      </c>
    </row>
    <row r="16" spans="1:16" x14ac:dyDescent="0.35">
      <c r="A16" s="4" t="s">
        <v>30</v>
      </c>
      <c r="B16" s="4" t="s">
        <v>8</v>
      </c>
      <c r="C16" s="5">
        <v>5</v>
      </c>
      <c r="D16" s="4" t="s">
        <v>31</v>
      </c>
      <c r="E16" s="4" t="s">
        <v>32</v>
      </c>
      <c r="F16" s="4" t="s">
        <v>117</v>
      </c>
      <c r="G16" s="4" t="s">
        <v>118</v>
      </c>
      <c r="H16" s="4" t="s">
        <v>119</v>
      </c>
      <c r="I16" s="4" t="str">
        <f t="shared" si="0"/>
        <v>LAULATE GUERRA DARVIN</v>
      </c>
      <c r="J16" s="5">
        <v>7</v>
      </c>
      <c r="K16" s="12" t="s">
        <v>278</v>
      </c>
    </row>
    <row r="17" spans="1:12" x14ac:dyDescent="0.35">
      <c r="A17" s="4" t="s">
        <v>17</v>
      </c>
      <c r="B17" s="4" t="s">
        <v>8</v>
      </c>
      <c r="C17" s="5">
        <v>3</v>
      </c>
      <c r="D17" s="4" t="s">
        <v>18</v>
      </c>
      <c r="E17" s="4" t="s">
        <v>20</v>
      </c>
      <c r="F17" s="4" t="s">
        <v>91</v>
      </c>
      <c r="G17" s="4" t="s">
        <v>92</v>
      </c>
      <c r="H17" s="4" t="s">
        <v>93</v>
      </c>
      <c r="I17" s="4" t="str">
        <f t="shared" si="0"/>
        <v>LUJAN HUAMAN JULIO CESAR</v>
      </c>
      <c r="J17" s="5">
        <v>4</v>
      </c>
      <c r="K17" s="12" t="s">
        <v>278</v>
      </c>
    </row>
    <row r="18" spans="1:12" x14ac:dyDescent="0.35">
      <c r="A18" s="4" t="s">
        <v>50</v>
      </c>
      <c r="B18" s="4" t="s">
        <v>8</v>
      </c>
      <c r="C18" s="5">
        <v>8</v>
      </c>
      <c r="D18" s="4" t="s">
        <v>51</v>
      </c>
      <c r="E18" s="4" t="s">
        <v>52</v>
      </c>
      <c r="F18" s="4" t="s">
        <v>158</v>
      </c>
      <c r="G18" s="4" t="s">
        <v>159</v>
      </c>
      <c r="H18" s="4" t="s">
        <v>160</v>
      </c>
      <c r="I18" s="4" t="str">
        <f t="shared" si="0"/>
        <v>MACEDO CHEVARRIA GUILLERMO</v>
      </c>
      <c r="J18" s="5">
        <v>19</v>
      </c>
      <c r="K18" s="10" t="s">
        <v>273</v>
      </c>
    </row>
    <row r="19" spans="1:12" x14ac:dyDescent="0.35">
      <c r="A19" s="4" t="s">
        <v>57</v>
      </c>
      <c r="B19" s="4" t="s">
        <v>8</v>
      </c>
      <c r="C19" s="5">
        <v>10</v>
      </c>
      <c r="D19" s="4" t="s">
        <v>58</v>
      </c>
      <c r="E19" s="4" t="s">
        <v>59</v>
      </c>
      <c r="F19" s="4" t="s">
        <v>95</v>
      </c>
      <c r="G19" s="4" t="s">
        <v>167</v>
      </c>
      <c r="H19" s="4" t="s">
        <v>168</v>
      </c>
      <c r="I19" s="4" t="str">
        <f t="shared" si="0"/>
        <v>MAMANI SERRANO FELICITAS MERCEDES</v>
      </c>
      <c r="J19" s="5">
        <v>1</v>
      </c>
      <c r="K19" s="10" t="s">
        <v>272</v>
      </c>
    </row>
    <row r="20" spans="1:12" x14ac:dyDescent="0.35">
      <c r="A20" s="4" t="s">
        <v>38</v>
      </c>
      <c r="B20" s="4" t="s">
        <v>8</v>
      </c>
      <c r="C20" s="5">
        <v>6</v>
      </c>
      <c r="D20" s="4" t="s">
        <v>39</v>
      </c>
      <c r="E20" s="4" t="s">
        <v>41</v>
      </c>
      <c r="F20" s="4" t="s">
        <v>138</v>
      </c>
      <c r="G20" s="4" t="s">
        <v>139</v>
      </c>
      <c r="H20" s="4" t="s">
        <v>140</v>
      </c>
      <c r="I20" s="4" t="str">
        <f t="shared" si="0"/>
        <v>MANCO PETREUCIC LIZ YODY</v>
      </c>
      <c r="J20" s="5">
        <v>1</v>
      </c>
      <c r="K20" s="12" t="s">
        <v>283</v>
      </c>
    </row>
    <row r="21" spans="1:12" x14ac:dyDescent="0.35">
      <c r="A21" s="4" t="s">
        <v>50</v>
      </c>
      <c r="B21" s="4" t="s">
        <v>8</v>
      </c>
      <c r="C21" s="5">
        <v>8</v>
      </c>
      <c r="D21" s="4" t="s">
        <v>51</v>
      </c>
      <c r="E21" s="4" t="s">
        <v>41</v>
      </c>
      <c r="F21" s="4" t="s">
        <v>138</v>
      </c>
      <c r="G21" s="4" t="s">
        <v>139</v>
      </c>
      <c r="H21" s="4" t="s">
        <v>140</v>
      </c>
      <c r="I21" s="4" t="str">
        <f t="shared" si="0"/>
        <v>MANCO PETREUCIC LIZ YODY</v>
      </c>
      <c r="J21" s="5">
        <v>1</v>
      </c>
      <c r="K21" s="12" t="s">
        <v>272</v>
      </c>
    </row>
    <row r="22" spans="1:12" x14ac:dyDescent="0.35">
      <c r="A22" s="4" t="s">
        <v>17</v>
      </c>
      <c r="B22" s="4" t="s">
        <v>8</v>
      </c>
      <c r="C22" s="5">
        <v>3</v>
      </c>
      <c r="D22" s="4" t="s">
        <v>18</v>
      </c>
      <c r="E22" s="4" t="s">
        <v>21</v>
      </c>
      <c r="F22" s="4" t="s">
        <v>94</v>
      </c>
      <c r="G22" s="4" t="s">
        <v>95</v>
      </c>
      <c r="H22" s="4" t="s">
        <v>96</v>
      </c>
      <c r="I22" s="4" t="str">
        <f t="shared" si="0"/>
        <v>MEDINA MAMANI KATHERINE JESSENIA</v>
      </c>
      <c r="J22" s="5">
        <v>1</v>
      </c>
      <c r="K22" s="10" t="s">
        <v>273</v>
      </c>
    </row>
    <row r="23" spans="1:12" x14ac:dyDescent="0.35">
      <c r="A23" s="4" t="s">
        <v>25</v>
      </c>
      <c r="B23" s="4" t="s">
        <v>8</v>
      </c>
      <c r="C23" s="5">
        <v>4</v>
      </c>
      <c r="D23" s="4" t="s">
        <v>26</v>
      </c>
      <c r="E23" s="4" t="s">
        <v>27</v>
      </c>
      <c r="F23" s="4" t="s">
        <v>83</v>
      </c>
      <c r="G23" s="4" t="s">
        <v>106</v>
      </c>
      <c r="H23" s="4" t="s">
        <v>107</v>
      </c>
      <c r="I23" s="4" t="str">
        <f t="shared" si="0"/>
        <v>MENDOZA HUAYANE VICTOR EDUARDO</v>
      </c>
      <c r="J23" s="5">
        <v>3</v>
      </c>
      <c r="K23" s="9" t="s">
        <v>285</v>
      </c>
    </row>
    <row r="24" spans="1:12" s="19" customFormat="1" x14ac:dyDescent="0.35">
      <c r="A24" s="15" t="s">
        <v>17</v>
      </c>
      <c r="B24" s="15" t="s">
        <v>8</v>
      </c>
      <c r="C24" s="16">
        <v>3</v>
      </c>
      <c r="D24" s="15" t="s">
        <v>18</v>
      </c>
      <c r="E24" s="15" t="s">
        <v>22</v>
      </c>
      <c r="F24" s="15" t="s">
        <v>97</v>
      </c>
      <c r="G24" s="15" t="s">
        <v>98</v>
      </c>
      <c r="H24" s="15" t="s">
        <v>99</v>
      </c>
      <c r="I24" s="15" t="str">
        <f t="shared" si="0"/>
        <v>MORENO CAYANI MARCO ANTONIO</v>
      </c>
      <c r="J24" s="16">
        <v>2</v>
      </c>
      <c r="K24" s="17" t="s">
        <v>275</v>
      </c>
      <c r="L24" s="18">
        <v>45516</v>
      </c>
    </row>
    <row r="25" spans="1:12" x14ac:dyDescent="0.35">
      <c r="A25" s="4" t="s">
        <v>43</v>
      </c>
      <c r="B25" s="4" t="s">
        <v>8</v>
      </c>
      <c r="C25" s="5">
        <v>7</v>
      </c>
      <c r="D25" s="4" t="s">
        <v>44</v>
      </c>
      <c r="E25" s="4" t="s">
        <v>22</v>
      </c>
      <c r="F25" s="4" t="s">
        <v>97</v>
      </c>
      <c r="G25" s="4" t="s">
        <v>98</v>
      </c>
      <c r="H25" s="4" t="s">
        <v>99</v>
      </c>
      <c r="I25" s="4" t="str">
        <f t="shared" si="0"/>
        <v>MORENO CAYANI MARCO ANTONIO</v>
      </c>
      <c r="J25" s="5">
        <v>5</v>
      </c>
      <c r="K25" s="9" t="s">
        <v>285</v>
      </c>
    </row>
    <row r="26" spans="1:12" x14ac:dyDescent="0.35">
      <c r="A26" s="4" t="s">
        <v>43</v>
      </c>
      <c r="B26" s="4" t="s">
        <v>8</v>
      </c>
      <c r="C26" s="5">
        <v>7</v>
      </c>
      <c r="D26" s="4" t="s">
        <v>44</v>
      </c>
      <c r="E26" s="4" t="s">
        <v>49</v>
      </c>
      <c r="F26" s="4" t="s">
        <v>155</v>
      </c>
      <c r="G26" s="4" t="s">
        <v>156</v>
      </c>
      <c r="H26" s="4" t="s">
        <v>157</v>
      </c>
      <c r="I26" s="4" t="str">
        <f t="shared" si="0"/>
        <v>MORILLO SANTA CRUZ KATIA PATRICIA</v>
      </c>
      <c r="J26" s="5">
        <v>1</v>
      </c>
      <c r="K26" s="9" t="s">
        <v>272</v>
      </c>
      <c r="L26" s="14">
        <v>45775</v>
      </c>
    </row>
    <row r="27" spans="1:12" ht="15.5" customHeight="1" x14ac:dyDescent="0.35">
      <c r="A27" s="4" t="s">
        <v>7</v>
      </c>
      <c r="B27" s="4" t="s">
        <v>8</v>
      </c>
      <c r="C27" s="5">
        <v>1</v>
      </c>
      <c r="D27" s="4" t="s">
        <v>9</v>
      </c>
      <c r="E27" s="4" t="s">
        <v>12</v>
      </c>
      <c r="F27" s="4" t="s">
        <v>79</v>
      </c>
      <c r="G27" s="4" t="s">
        <v>80</v>
      </c>
      <c r="H27" s="4" t="s">
        <v>81</v>
      </c>
      <c r="I27" s="4" t="str">
        <f t="shared" si="0"/>
        <v>NINANYA LAUREANO ALBERTO ATILIO</v>
      </c>
      <c r="J27" s="5">
        <v>12</v>
      </c>
      <c r="K27" s="12" t="s">
        <v>278</v>
      </c>
    </row>
    <row r="28" spans="1:12" x14ac:dyDescent="0.35">
      <c r="A28" s="4" t="s">
        <v>30</v>
      </c>
      <c r="B28" s="4" t="s">
        <v>8</v>
      </c>
      <c r="C28" s="5">
        <v>5</v>
      </c>
      <c r="D28" s="4" t="s">
        <v>31</v>
      </c>
      <c r="E28" s="4" t="s">
        <v>33</v>
      </c>
      <c r="F28" s="4" t="s">
        <v>120</v>
      </c>
      <c r="G28" s="4" t="s">
        <v>121</v>
      </c>
      <c r="H28" s="4" t="s">
        <v>122</v>
      </c>
      <c r="I28" s="4" t="str">
        <f t="shared" si="0"/>
        <v>PRETEL CHICLAYO JUAN RODEL</v>
      </c>
      <c r="J28" s="5">
        <v>17</v>
      </c>
      <c r="K28" s="12" t="s">
        <v>278</v>
      </c>
    </row>
    <row r="29" spans="1:12" x14ac:dyDescent="0.35">
      <c r="A29" s="4" t="s">
        <v>38</v>
      </c>
      <c r="B29" s="4" t="s">
        <v>8</v>
      </c>
      <c r="C29" s="5">
        <v>6</v>
      </c>
      <c r="D29" s="4" t="s">
        <v>39</v>
      </c>
      <c r="E29" s="4" t="s">
        <v>33</v>
      </c>
      <c r="F29" s="4" t="s">
        <v>120</v>
      </c>
      <c r="G29" s="4" t="s">
        <v>121</v>
      </c>
      <c r="H29" s="4" t="s">
        <v>122</v>
      </c>
      <c r="I29" s="4" t="str">
        <f t="shared" si="0"/>
        <v>PRETEL CHICLAYO JUAN RODEL</v>
      </c>
      <c r="J29" s="5">
        <v>2</v>
      </c>
      <c r="K29" s="12" t="s">
        <v>275</v>
      </c>
    </row>
    <row r="30" spans="1:12" x14ac:dyDescent="0.35">
      <c r="A30" s="4" t="s">
        <v>30</v>
      </c>
      <c r="B30" s="4" t="s">
        <v>8</v>
      </c>
      <c r="C30" s="5">
        <v>5</v>
      </c>
      <c r="D30" s="4" t="s">
        <v>31</v>
      </c>
      <c r="E30" s="4" t="s">
        <v>34</v>
      </c>
      <c r="F30" s="4" t="s">
        <v>123</v>
      </c>
      <c r="G30" s="4" t="s">
        <v>124</v>
      </c>
      <c r="H30" s="4" t="s">
        <v>125</v>
      </c>
      <c r="I30" s="4" t="str">
        <f>CONCATENATE(F30," ",G30," ",H30)</f>
        <v>QUISPE SUASACA SANTOS FROILAN</v>
      </c>
      <c r="J30" s="5">
        <v>7</v>
      </c>
      <c r="K30" s="9" t="s">
        <v>283</v>
      </c>
      <c r="L30" s="14">
        <v>45040</v>
      </c>
    </row>
    <row r="31" spans="1:12" x14ac:dyDescent="0.35">
      <c r="A31" s="4" t="s">
        <v>38</v>
      </c>
      <c r="B31" s="4" t="s">
        <v>8</v>
      </c>
      <c r="C31" s="5">
        <v>6</v>
      </c>
      <c r="D31" s="4" t="s">
        <v>39</v>
      </c>
      <c r="E31" s="4" t="s">
        <v>42</v>
      </c>
      <c r="F31" s="4" t="s">
        <v>123</v>
      </c>
      <c r="G31" s="4" t="s">
        <v>141</v>
      </c>
      <c r="H31" s="4" t="s">
        <v>142</v>
      </c>
      <c r="I31" s="4" t="str">
        <f t="shared" si="0"/>
        <v>QUISPE SALAS KARINA ROSARIO</v>
      </c>
      <c r="J31" s="5">
        <v>3</v>
      </c>
      <c r="K31" s="9" t="s">
        <v>285</v>
      </c>
    </row>
    <row r="32" spans="1:12" x14ac:dyDescent="0.35">
      <c r="A32" s="4" t="s">
        <v>61</v>
      </c>
      <c r="B32" s="4" t="s">
        <v>8</v>
      </c>
      <c r="C32" s="5">
        <v>11</v>
      </c>
      <c r="D32" s="4" t="s">
        <v>62</v>
      </c>
      <c r="E32" s="4" t="s">
        <v>66</v>
      </c>
      <c r="F32" s="4" t="s">
        <v>181</v>
      </c>
      <c r="G32" s="4" t="s">
        <v>182</v>
      </c>
      <c r="H32" s="4" t="s">
        <v>183</v>
      </c>
      <c r="I32" s="4" t="str">
        <f t="shared" si="0"/>
        <v>RIVERA RAMOS RICARDO DINAMITA</v>
      </c>
      <c r="J32" s="5">
        <v>4</v>
      </c>
      <c r="K32" s="12" t="s">
        <v>278</v>
      </c>
    </row>
    <row r="33" spans="1:12" x14ac:dyDescent="0.35">
      <c r="A33" s="4" t="s">
        <v>30</v>
      </c>
      <c r="B33" s="4" t="s">
        <v>8</v>
      </c>
      <c r="C33" s="5">
        <v>5</v>
      </c>
      <c r="D33" s="4" t="s">
        <v>31</v>
      </c>
      <c r="E33" s="4" t="s">
        <v>35</v>
      </c>
      <c r="F33" s="4" t="s">
        <v>126</v>
      </c>
      <c r="G33" s="4" t="s">
        <v>127</v>
      </c>
      <c r="H33" s="4" t="s">
        <v>128</v>
      </c>
      <c r="I33" s="4" t="str">
        <f t="shared" si="0"/>
        <v>ROSELL CAMPOS JOSE ALBERTO</v>
      </c>
      <c r="J33" s="5">
        <v>3</v>
      </c>
      <c r="K33" s="9" t="s">
        <v>285</v>
      </c>
    </row>
    <row r="34" spans="1:12" x14ac:dyDescent="0.35">
      <c r="A34" s="4" t="s">
        <v>25</v>
      </c>
      <c r="B34" s="4" t="s">
        <v>8</v>
      </c>
      <c r="C34" s="5">
        <v>4</v>
      </c>
      <c r="D34" s="4" t="s">
        <v>26</v>
      </c>
      <c r="E34" s="4" t="s">
        <v>28</v>
      </c>
      <c r="F34" s="4" t="s">
        <v>108</v>
      </c>
      <c r="G34" s="4" t="s">
        <v>109</v>
      </c>
      <c r="H34" s="4" t="s">
        <v>110</v>
      </c>
      <c r="I34" s="4" t="str">
        <f t="shared" si="0"/>
        <v>SANTIAGO LAVADO JORGE ARTURO</v>
      </c>
      <c r="J34" s="5">
        <v>13</v>
      </c>
      <c r="K34" s="12" t="s">
        <v>278</v>
      </c>
    </row>
    <row r="35" spans="1:12" s="19" customFormat="1" x14ac:dyDescent="0.35">
      <c r="A35" s="4" t="s">
        <v>50</v>
      </c>
      <c r="B35" s="4" t="s">
        <v>8</v>
      </c>
      <c r="C35" s="5">
        <v>8</v>
      </c>
      <c r="D35" s="4" t="s">
        <v>51</v>
      </c>
      <c r="E35" s="15" t="s">
        <v>53</v>
      </c>
      <c r="F35" s="15" t="s">
        <v>161</v>
      </c>
      <c r="G35" s="15" t="s">
        <v>162</v>
      </c>
      <c r="H35" s="15" t="s">
        <v>163</v>
      </c>
      <c r="I35" s="15" t="str">
        <f t="shared" si="0"/>
        <v>SEQUEIROS MEZA RAUL</v>
      </c>
      <c r="J35" s="16">
        <v>6</v>
      </c>
      <c r="K35" s="17" t="s">
        <v>281</v>
      </c>
      <c r="L35" s="18">
        <v>45810</v>
      </c>
    </row>
    <row r="36" spans="1:12" x14ac:dyDescent="0.35">
      <c r="A36" s="4" t="s">
        <v>25</v>
      </c>
      <c r="B36" s="4" t="s">
        <v>8</v>
      </c>
      <c r="C36" s="5">
        <v>4</v>
      </c>
      <c r="D36" s="4" t="s">
        <v>26</v>
      </c>
      <c r="E36" s="4" t="s">
        <v>29</v>
      </c>
      <c r="F36" s="4" t="s">
        <v>111</v>
      </c>
      <c r="G36" s="4" t="s">
        <v>112</v>
      </c>
      <c r="H36" s="4" t="s">
        <v>113</v>
      </c>
      <c r="I36" s="4" t="str">
        <f t="shared" si="0"/>
        <v>TICONA FIGUEROA JOEL  ALVARO</v>
      </c>
      <c r="J36" s="5">
        <v>13</v>
      </c>
      <c r="K36" s="12" t="s">
        <v>278</v>
      </c>
    </row>
    <row r="37" spans="1:12" x14ac:dyDescent="0.35">
      <c r="A37" s="4" t="s">
        <v>17</v>
      </c>
      <c r="B37" s="4" t="s">
        <v>8</v>
      </c>
      <c r="C37" s="5">
        <v>3</v>
      </c>
      <c r="D37" s="4" t="s">
        <v>18</v>
      </c>
      <c r="E37" s="4" t="s">
        <v>23</v>
      </c>
      <c r="F37" s="4" t="s">
        <v>100</v>
      </c>
      <c r="G37" s="4" t="s">
        <v>101</v>
      </c>
      <c r="H37" s="4" t="s">
        <v>102</v>
      </c>
      <c r="I37" s="4" t="str">
        <f t="shared" si="0"/>
        <v>TRUJILLO PORTOCARRERO LUZ CAROLINA</v>
      </c>
      <c r="J37" s="5">
        <v>5</v>
      </c>
      <c r="K37" s="9" t="s">
        <v>285</v>
      </c>
      <c r="L37" s="14">
        <v>45208</v>
      </c>
    </row>
    <row r="38" spans="1:12" x14ac:dyDescent="0.35">
      <c r="A38" s="4" t="s">
        <v>14</v>
      </c>
      <c r="B38" s="4" t="s">
        <v>8</v>
      </c>
      <c r="C38" s="5">
        <v>2</v>
      </c>
      <c r="D38" s="4" t="s">
        <v>15</v>
      </c>
      <c r="E38" s="4" t="s">
        <v>16</v>
      </c>
      <c r="F38" s="4" t="s">
        <v>85</v>
      </c>
      <c r="G38" s="4" t="s">
        <v>86</v>
      </c>
      <c r="H38" s="4" t="s">
        <v>87</v>
      </c>
      <c r="I38" s="4" t="str">
        <f t="shared" si="0"/>
        <v>VALQUI DURAN CARLOS</v>
      </c>
      <c r="J38" s="5">
        <v>5</v>
      </c>
      <c r="K38" s="9" t="s">
        <v>285</v>
      </c>
    </row>
    <row r="39" spans="1:12" x14ac:dyDescent="0.35">
      <c r="A39" s="4" t="s">
        <v>17</v>
      </c>
      <c r="B39" s="4" t="s">
        <v>8</v>
      </c>
      <c r="C39" s="5">
        <v>3</v>
      </c>
      <c r="D39" s="4" t="s">
        <v>18</v>
      </c>
      <c r="E39" s="4" t="s">
        <v>24</v>
      </c>
      <c r="F39" s="4" t="s">
        <v>103</v>
      </c>
      <c r="G39" s="4" t="s">
        <v>104</v>
      </c>
      <c r="H39" s="4" t="s">
        <v>105</v>
      </c>
      <c r="I39" s="4" t="str">
        <f t="shared" si="0"/>
        <v>VARGAS VILLANUEVA JEAN PIERRE YOEL</v>
      </c>
      <c r="J39" s="5">
        <v>2</v>
      </c>
      <c r="K39" s="10" t="s">
        <v>271</v>
      </c>
    </row>
    <row r="40" spans="1:12" x14ac:dyDescent="0.35">
      <c r="A40" s="4" t="s">
        <v>30</v>
      </c>
      <c r="B40" s="4" t="s">
        <v>8</v>
      </c>
      <c r="C40" s="5">
        <v>5</v>
      </c>
      <c r="D40" s="4" t="s">
        <v>31</v>
      </c>
      <c r="E40" s="4" t="s">
        <v>36</v>
      </c>
      <c r="F40" s="4" t="s">
        <v>129</v>
      </c>
      <c r="G40" s="4" t="s">
        <v>130</v>
      </c>
      <c r="H40" s="4" t="s">
        <v>131</v>
      </c>
      <c r="I40" s="4" t="str">
        <f t="shared" si="0"/>
        <v>VELASQUEZ NAVARRO HENRY</v>
      </c>
      <c r="J40" s="5">
        <v>5</v>
      </c>
      <c r="K40" s="12" t="s">
        <v>278</v>
      </c>
      <c r="L40" s="14">
        <v>44795</v>
      </c>
    </row>
    <row r="41" spans="1:12" x14ac:dyDescent="0.35">
      <c r="A41" s="4" t="s">
        <v>38</v>
      </c>
      <c r="B41" s="4" t="s">
        <v>8</v>
      </c>
      <c r="C41" s="5">
        <v>6</v>
      </c>
      <c r="D41" s="4" t="s">
        <v>39</v>
      </c>
      <c r="E41" s="4" t="s">
        <v>36</v>
      </c>
      <c r="F41" s="4" t="s">
        <v>129</v>
      </c>
      <c r="G41" s="4" t="s">
        <v>130</v>
      </c>
      <c r="H41" s="4" t="s">
        <v>131</v>
      </c>
      <c r="I41" s="4" t="str">
        <f t="shared" si="0"/>
        <v>VELASQUEZ NAVARRO HENRY</v>
      </c>
      <c r="J41" s="5">
        <v>10</v>
      </c>
      <c r="K41" s="12" t="s">
        <v>275</v>
      </c>
    </row>
    <row r="42" spans="1:12" x14ac:dyDescent="0.35">
      <c r="A42" s="4" t="s">
        <v>67</v>
      </c>
      <c r="B42" s="4" t="s">
        <v>8</v>
      </c>
      <c r="C42" s="5">
        <v>12</v>
      </c>
      <c r="D42" s="4" t="s">
        <v>68</v>
      </c>
      <c r="E42" s="4" t="s">
        <v>69</v>
      </c>
      <c r="F42" s="4" t="s">
        <v>129</v>
      </c>
      <c r="G42" s="4" t="s">
        <v>184</v>
      </c>
      <c r="H42" s="4" t="s">
        <v>185</v>
      </c>
      <c r="I42" s="4" t="str">
        <f t="shared" si="0"/>
        <v>VELASQUEZ CHAMBI RICHARD STEVE</v>
      </c>
      <c r="J42" s="5">
        <v>11</v>
      </c>
      <c r="K42" s="12" t="s">
        <v>275</v>
      </c>
    </row>
    <row r="43" spans="1:12" x14ac:dyDescent="0.35">
      <c r="A43" s="4" t="s">
        <v>7</v>
      </c>
      <c r="B43" s="4" t="s">
        <v>8</v>
      </c>
      <c r="C43" s="5">
        <v>1</v>
      </c>
      <c r="D43" s="4" t="s">
        <v>9</v>
      </c>
      <c r="E43" s="4" t="s">
        <v>13</v>
      </c>
      <c r="F43" s="4" t="s">
        <v>82</v>
      </c>
      <c r="G43" s="4" t="s">
        <v>83</v>
      </c>
      <c r="H43" s="4" t="s">
        <v>84</v>
      </c>
      <c r="I43" s="4" t="str">
        <f t="shared" si="0"/>
        <v>VILLAFUERTE MENDOZA ALEJANDRO MANUEL</v>
      </c>
      <c r="J43" s="5">
        <v>1</v>
      </c>
      <c r="K43" s="10" t="s">
        <v>272</v>
      </c>
    </row>
    <row r="44" spans="1:12" x14ac:dyDescent="0.35">
      <c r="A44" s="4" t="s">
        <v>57</v>
      </c>
      <c r="B44" s="4" t="s">
        <v>8</v>
      </c>
      <c r="C44" s="5">
        <v>10</v>
      </c>
      <c r="D44" s="4" t="s">
        <v>58</v>
      </c>
      <c r="E44" s="4" t="s">
        <v>60</v>
      </c>
      <c r="F44" s="4" t="s">
        <v>169</v>
      </c>
      <c r="G44" s="4" t="s">
        <v>170</v>
      </c>
      <c r="H44" s="4" t="s">
        <v>171</v>
      </c>
      <c r="I44" s="4" t="str">
        <f t="shared" si="0"/>
        <v>VIZCARRA RODRIGUEZ JAIME ALBERTO</v>
      </c>
      <c r="J44" s="5">
        <v>5</v>
      </c>
      <c r="K44" s="9" t="s">
        <v>285</v>
      </c>
    </row>
    <row r="45" spans="1:12" x14ac:dyDescent="0.35">
      <c r="A45" s="4" t="s">
        <v>30</v>
      </c>
      <c r="B45" s="4" t="s">
        <v>8</v>
      </c>
      <c r="C45" s="5">
        <v>5</v>
      </c>
      <c r="D45" s="4" t="s">
        <v>31</v>
      </c>
      <c r="E45" s="4" t="s">
        <v>37</v>
      </c>
      <c r="F45" s="4" t="s">
        <v>132</v>
      </c>
      <c r="G45" s="4" t="s">
        <v>133</v>
      </c>
      <c r="H45" s="4" t="s">
        <v>134</v>
      </c>
      <c r="I45" s="4" t="str">
        <f>CONCATENATE(F45," ",G45," ",H45)</f>
        <v>ZAVALETA CUEVA RENATO ANDRE</v>
      </c>
      <c r="J45" s="5">
        <v>5</v>
      </c>
      <c r="K45" s="9" t="s">
        <v>285</v>
      </c>
      <c r="L45" s="14">
        <v>45246</v>
      </c>
    </row>
  </sheetData>
  <autoFilter ref="A2:L45" xr:uid="{2FAF14BD-3DC4-49FD-8B17-E6C043248D5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895C-55A2-42E1-BA21-50AB3F747C94}">
  <dimension ref="A2:J27"/>
  <sheetViews>
    <sheetView zoomScale="80" zoomScaleNormal="80" workbookViewId="0">
      <selection activeCell="J4" sqref="J4"/>
    </sheetView>
  </sheetViews>
  <sheetFormatPr baseColWidth="10" defaultRowHeight="14.5" x14ac:dyDescent="0.35"/>
  <cols>
    <col min="8" max="8" width="19.36328125" bestFit="1" customWidth="1"/>
    <col min="10" max="10" width="28.1796875" style="10" customWidth="1"/>
  </cols>
  <sheetData>
    <row r="2" spans="1:10" ht="43.5" x14ac:dyDescent="0.35">
      <c r="A2" s="1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1" t="s">
        <v>70</v>
      </c>
      <c r="G2" s="1" t="s">
        <v>71</v>
      </c>
      <c r="H2" s="1" t="s">
        <v>72</v>
      </c>
      <c r="I2" s="3" t="s">
        <v>6</v>
      </c>
      <c r="J2" s="8" t="s">
        <v>267</v>
      </c>
    </row>
    <row r="3" spans="1:10" x14ac:dyDescent="0.35">
      <c r="A3" s="6" t="s">
        <v>14</v>
      </c>
      <c r="B3" s="6" t="s">
        <v>8</v>
      </c>
      <c r="C3" s="6">
        <v>2</v>
      </c>
      <c r="D3" s="6" t="s">
        <v>15</v>
      </c>
      <c r="E3" s="6" t="s">
        <v>186</v>
      </c>
      <c r="F3" s="6" t="s">
        <v>208</v>
      </c>
      <c r="G3" s="6" t="s">
        <v>209</v>
      </c>
      <c r="H3" s="6" t="s">
        <v>210</v>
      </c>
      <c r="I3" s="6">
        <v>2</v>
      </c>
      <c r="J3" s="9" t="s">
        <v>277</v>
      </c>
    </row>
    <row r="4" spans="1:10" x14ac:dyDescent="0.35">
      <c r="A4" s="6" t="s">
        <v>14</v>
      </c>
      <c r="B4" s="6" t="s">
        <v>8</v>
      </c>
      <c r="C4" s="6">
        <v>2</v>
      </c>
      <c r="D4" s="6" t="s">
        <v>15</v>
      </c>
      <c r="E4" s="6" t="s">
        <v>187</v>
      </c>
      <c r="F4" s="6" t="s">
        <v>211</v>
      </c>
      <c r="G4" s="6" t="s">
        <v>212</v>
      </c>
      <c r="H4" s="6" t="s">
        <v>213</v>
      </c>
      <c r="I4" s="6">
        <v>4</v>
      </c>
      <c r="J4" s="9" t="s">
        <v>277</v>
      </c>
    </row>
    <row r="5" spans="1:10" x14ac:dyDescent="0.35">
      <c r="A5" s="6" t="s">
        <v>17</v>
      </c>
      <c r="B5" s="6" t="s">
        <v>8</v>
      </c>
      <c r="C5" s="6">
        <v>3</v>
      </c>
      <c r="D5" s="6" t="s">
        <v>18</v>
      </c>
      <c r="E5" s="6" t="s">
        <v>186</v>
      </c>
      <c r="F5" s="6" t="s">
        <v>208</v>
      </c>
      <c r="G5" s="6" t="s">
        <v>209</v>
      </c>
      <c r="H5" s="6" t="s">
        <v>210</v>
      </c>
      <c r="I5" s="6">
        <v>2</v>
      </c>
      <c r="J5" s="9" t="s">
        <v>277</v>
      </c>
    </row>
    <row r="6" spans="1:10" x14ac:dyDescent="0.35">
      <c r="A6" s="6" t="s">
        <v>17</v>
      </c>
      <c r="B6" s="6" t="s">
        <v>8</v>
      </c>
      <c r="C6" s="6">
        <v>3</v>
      </c>
      <c r="D6" s="6" t="s">
        <v>18</v>
      </c>
      <c r="E6" s="6" t="s">
        <v>188</v>
      </c>
      <c r="F6" s="6" t="s">
        <v>214</v>
      </c>
      <c r="G6" s="6" t="s">
        <v>215</v>
      </c>
      <c r="H6" s="6" t="s">
        <v>216</v>
      </c>
      <c r="I6" s="6">
        <v>1</v>
      </c>
      <c r="J6" s="9" t="s">
        <v>277</v>
      </c>
    </row>
    <row r="7" spans="1:10" x14ac:dyDescent="0.35">
      <c r="A7" s="6" t="s">
        <v>30</v>
      </c>
      <c r="B7" s="6" t="s">
        <v>8</v>
      </c>
      <c r="C7" s="6">
        <v>5</v>
      </c>
      <c r="D7" s="6" t="s">
        <v>31</v>
      </c>
      <c r="E7" s="6" t="s">
        <v>189</v>
      </c>
      <c r="F7" s="6" t="s">
        <v>217</v>
      </c>
      <c r="G7" s="6" t="s">
        <v>218</v>
      </c>
      <c r="H7" s="6" t="s">
        <v>219</v>
      </c>
      <c r="I7" s="6">
        <v>2</v>
      </c>
      <c r="J7" s="9" t="s">
        <v>277</v>
      </c>
    </row>
    <row r="8" spans="1:10" x14ac:dyDescent="0.35">
      <c r="A8" s="6" t="s">
        <v>30</v>
      </c>
      <c r="B8" s="6" t="s">
        <v>8</v>
      </c>
      <c r="C8" s="6">
        <v>5</v>
      </c>
      <c r="D8" s="6" t="s">
        <v>31</v>
      </c>
      <c r="E8" s="6" t="s">
        <v>190</v>
      </c>
      <c r="F8" s="6" t="s">
        <v>95</v>
      </c>
      <c r="G8" s="6" t="s">
        <v>220</v>
      </c>
      <c r="H8" s="6" t="s">
        <v>221</v>
      </c>
      <c r="I8" s="6">
        <v>2</v>
      </c>
      <c r="J8" s="9" t="s">
        <v>277</v>
      </c>
    </row>
    <row r="9" spans="1:10" x14ac:dyDescent="0.35">
      <c r="A9" s="6" t="s">
        <v>30</v>
      </c>
      <c r="B9" s="6" t="s">
        <v>8</v>
      </c>
      <c r="C9" s="6">
        <v>5</v>
      </c>
      <c r="D9" s="6" t="s">
        <v>31</v>
      </c>
      <c r="E9" s="6" t="s">
        <v>191</v>
      </c>
      <c r="F9" s="6" t="s">
        <v>222</v>
      </c>
      <c r="G9" s="6" t="s">
        <v>223</v>
      </c>
      <c r="H9" s="6" t="s">
        <v>224</v>
      </c>
      <c r="I9" s="6">
        <v>5</v>
      </c>
      <c r="J9" s="9" t="s">
        <v>277</v>
      </c>
    </row>
    <row r="10" spans="1:10" x14ac:dyDescent="0.35">
      <c r="A10" s="6" t="s">
        <v>38</v>
      </c>
      <c r="B10" s="6" t="s">
        <v>8</v>
      </c>
      <c r="C10" s="6">
        <v>6</v>
      </c>
      <c r="D10" s="6" t="s">
        <v>39</v>
      </c>
      <c r="E10" s="6" t="s">
        <v>193</v>
      </c>
      <c r="F10" s="6" t="s">
        <v>227</v>
      </c>
      <c r="G10" s="6" t="s">
        <v>228</v>
      </c>
      <c r="H10" s="6" t="s">
        <v>229</v>
      </c>
      <c r="I10" s="6">
        <v>7</v>
      </c>
      <c r="J10" s="9" t="s">
        <v>277</v>
      </c>
    </row>
    <row r="11" spans="1:10" x14ac:dyDescent="0.35">
      <c r="A11" s="6" t="s">
        <v>38</v>
      </c>
      <c r="B11" s="6" t="s">
        <v>8</v>
      </c>
      <c r="C11" s="6">
        <v>6</v>
      </c>
      <c r="D11" s="6" t="s">
        <v>39</v>
      </c>
      <c r="E11" s="6" t="s">
        <v>195</v>
      </c>
      <c r="F11" s="6" t="s">
        <v>111</v>
      </c>
      <c r="G11" s="6" t="s">
        <v>233</v>
      </c>
      <c r="H11" s="6" t="s">
        <v>234</v>
      </c>
      <c r="I11" s="6">
        <v>3</v>
      </c>
      <c r="J11" s="9" t="s">
        <v>277</v>
      </c>
    </row>
    <row r="12" spans="1:10" x14ac:dyDescent="0.35">
      <c r="A12" s="6" t="s">
        <v>38</v>
      </c>
      <c r="B12" s="6" t="s">
        <v>8</v>
      </c>
      <c r="C12" s="6">
        <v>6</v>
      </c>
      <c r="D12" s="6" t="s">
        <v>39</v>
      </c>
      <c r="E12" s="6" t="s">
        <v>194</v>
      </c>
      <c r="F12" s="6" t="s">
        <v>230</v>
      </c>
      <c r="G12" s="6" t="s">
        <v>231</v>
      </c>
      <c r="H12" s="6" t="s">
        <v>232</v>
      </c>
      <c r="I12" s="6">
        <v>1</v>
      </c>
      <c r="J12" s="9" t="s">
        <v>277</v>
      </c>
    </row>
    <row r="13" spans="1:10" x14ac:dyDescent="0.35">
      <c r="A13" s="6" t="s">
        <v>38</v>
      </c>
      <c r="B13" s="6" t="s">
        <v>8</v>
      </c>
      <c r="C13" s="6">
        <v>6</v>
      </c>
      <c r="D13" s="6" t="s">
        <v>39</v>
      </c>
      <c r="E13" s="6" t="s">
        <v>192</v>
      </c>
      <c r="F13" s="6" t="s">
        <v>225</v>
      </c>
      <c r="G13" s="6" t="s">
        <v>209</v>
      </c>
      <c r="H13" s="6" t="s">
        <v>226</v>
      </c>
      <c r="I13" s="6">
        <v>3</v>
      </c>
      <c r="J13" s="9" t="s">
        <v>284</v>
      </c>
    </row>
    <row r="14" spans="1:10" x14ac:dyDescent="0.35">
      <c r="A14" s="6" t="s">
        <v>43</v>
      </c>
      <c r="B14" s="6" t="s">
        <v>8</v>
      </c>
      <c r="C14" s="6">
        <v>7</v>
      </c>
      <c r="D14" s="6" t="s">
        <v>44</v>
      </c>
      <c r="E14" s="6" t="s">
        <v>47</v>
      </c>
      <c r="F14" s="6" t="s">
        <v>149</v>
      </c>
      <c r="G14" s="6" t="s">
        <v>150</v>
      </c>
      <c r="H14" s="6" t="s">
        <v>151</v>
      </c>
      <c r="I14" s="6">
        <v>1</v>
      </c>
      <c r="J14" s="9" t="s">
        <v>277</v>
      </c>
    </row>
    <row r="15" spans="1:10" x14ac:dyDescent="0.35">
      <c r="A15" s="6" t="s">
        <v>50</v>
      </c>
      <c r="B15" s="6" t="s">
        <v>8</v>
      </c>
      <c r="C15" s="6">
        <v>8</v>
      </c>
      <c r="D15" s="6" t="s">
        <v>51</v>
      </c>
      <c r="E15" s="6" t="s">
        <v>196</v>
      </c>
      <c r="F15" s="6" t="s">
        <v>235</v>
      </c>
      <c r="G15" s="6" t="s">
        <v>236</v>
      </c>
      <c r="H15" s="6" t="s">
        <v>237</v>
      </c>
      <c r="I15" s="6">
        <v>2</v>
      </c>
      <c r="J15" s="9" t="s">
        <v>273</v>
      </c>
    </row>
    <row r="16" spans="1:10" x14ac:dyDescent="0.35">
      <c r="A16" s="6" t="s">
        <v>54</v>
      </c>
      <c r="B16" s="6" t="s">
        <v>8</v>
      </c>
      <c r="C16" s="6">
        <v>9</v>
      </c>
      <c r="D16" s="6" t="s">
        <v>55</v>
      </c>
      <c r="E16" s="6" t="s">
        <v>197</v>
      </c>
      <c r="F16" s="6" t="s">
        <v>83</v>
      </c>
      <c r="G16" s="6" t="s">
        <v>141</v>
      </c>
      <c r="H16" s="6" t="s">
        <v>238</v>
      </c>
      <c r="I16" s="6">
        <v>7</v>
      </c>
      <c r="J16" s="9" t="s">
        <v>277</v>
      </c>
    </row>
    <row r="17" spans="1:10" x14ac:dyDescent="0.35">
      <c r="A17" s="6" t="s">
        <v>54</v>
      </c>
      <c r="B17" s="6" t="s">
        <v>8</v>
      </c>
      <c r="C17" s="6">
        <v>9</v>
      </c>
      <c r="D17" s="6" t="s">
        <v>55</v>
      </c>
      <c r="E17" s="6" t="s">
        <v>198</v>
      </c>
      <c r="F17" s="6" t="s">
        <v>123</v>
      </c>
      <c r="G17" s="6" t="s">
        <v>239</v>
      </c>
      <c r="H17" s="6" t="s">
        <v>240</v>
      </c>
      <c r="I17" s="6">
        <v>7</v>
      </c>
      <c r="J17" s="9" t="s">
        <v>273</v>
      </c>
    </row>
    <row r="18" spans="1:10" x14ac:dyDescent="0.35">
      <c r="A18" s="6" t="s">
        <v>54</v>
      </c>
      <c r="B18" s="6" t="s">
        <v>8</v>
      </c>
      <c r="C18" s="6">
        <v>9</v>
      </c>
      <c r="D18" s="6" t="s">
        <v>55</v>
      </c>
      <c r="E18" s="6" t="s">
        <v>48</v>
      </c>
      <c r="F18" s="6" t="s">
        <v>152</v>
      </c>
      <c r="G18" s="6" t="s">
        <v>153</v>
      </c>
      <c r="H18" s="6" t="s">
        <v>154</v>
      </c>
      <c r="I18" s="6">
        <v>3</v>
      </c>
      <c r="J18" s="9" t="s">
        <v>277</v>
      </c>
    </row>
    <row r="19" spans="1:10" x14ac:dyDescent="0.35">
      <c r="A19" s="6" t="s">
        <v>57</v>
      </c>
      <c r="B19" s="6" t="s">
        <v>8</v>
      </c>
      <c r="C19" s="6">
        <v>10</v>
      </c>
      <c r="D19" s="6" t="s">
        <v>58</v>
      </c>
      <c r="E19" s="6" t="s">
        <v>199</v>
      </c>
      <c r="F19" s="6" t="s">
        <v>241</v>
      </c>
      <c r="G19" s="6" t="s">
        <v>242</v>
      </c>
      <c r="H19" s="6" t="s">
        <v>243</v>
      </c>
      <c r="I19" s="6">
        <v>2</v>
      </c>
      <c r="J19" s="9" t="s">
        <v>277</v>
      </c>
    </row>
    <row r="20" spans="1:10" x14ac:dyDescent="0.35">
      <c r="A20" s="6" t="s">
        <v>57</v>
      </c>
      <c r="B20" s="6" t="s">
        <v>8</v>
      </c>
      <c r="C20" s="6">
        <v>10</v>
      </c>
      <c r="D20" s="6" t="s">
        <v>58</v>
      </c>
      <c r="E20" s="6" t="s">
        <v>200</v>
      </c>
      <c r="F20" s="6" t="s">
        <v>244</v>
      </c>
      <c r="G20" s="6" t="s">
        <v>245</v>
      </c>
      <c r="H20" s="6" t="s">
        <v>246</v>
      </c>
      <c r="I20" s="6">
        <v>7</v>
      </c>
      <c r="J20" s="9" t="s">
        <v>277</v>
      </c>
    </row>
    <row r="21" spans="1:10" x14ac:dyDescent="0.35">
      <c r="A21" s="6" t="s">
        <v>61</v>
      </c>
      <c r="B21" s="6" t="s">
        <v>8</v>
      </c>
      <c r="C21" s="6">
        <v>11</v>
      </c>
      <c r="D21" s="6" t="s">
        <v>62</v>
      </c>
      <c r="E21" s="6" t="s">
        <v>201</v>
      </c>
      <c r="F21" s="6" t="s">
        <v>247</v>
      </c>
      <c r="G21" s="6" t="s">
        <v>248</v>
      </c>
      <c r="H21" s="6" t="s">
        <v>249</v>
      </c>
      <c r="I21" s="6">
        <v>8</v>
      </c>
      <c r="J21" s="9" t="s">
        <v>277</v>
      </c>
    </row>
    <row r="22" spans="1:10" x14ac:dyDescent="0.35">
      <c r="A22" s="6" t="s">
        <v>61</v>
      </c>
      <c r="B22" s="6" t="s">
        <v>8</v>
      </c>
      <c r="C22" s="6">
        <v>11</v>
      </c>
      <c r="D22" s="6" t="s">
        <v>62</v>
      </c>
      <c r="E22" s="6" t="s">
        <v>206</v>
      </c>
      <c r="F22" s="6" t="s">
        <v>123</v>
      </c>
      <c r="G22" s="6" t="s">
        <v>262</v>
      </c>
      <c r="H22" s="6" t="s">
        <v>263</v>
      </c>
      <c r="I22" s="6">
        <v>11</v>
      </c>
      <c r="J22" s="9" t="s">
        <v>277</v>
      </c>
    </row>
    <row r="23" spans="1:10" x14ac:dyDescent="0.35">
      <c r="A23" s="6" t="s">
        <v>61</v>
      </c>
      <c r="B23" s="6" t="s">
        <v>8</v>
      </c>
      <c r="C23" s="6">
        <v>11</v>
      </c>
      <c r="D23" s="6" t="s">
        <v>62</v>
      </c>
      <c r="E23" s="6" t="s">
        <v>202</v>
      </c>
      <c r="F23" s="6" t="s">
        <v>250</v>
      </c>
      <c r="G23" s="6" t="s">
        <v>251</v>
      </c>
      <c r="H23" s="6" t="s">
        <v>252</v>
      </c>
      <c r="I23" s="6">
        <v>3</v>
      </c>
      <c r="J23" s="11" t="s">
        <v>276</v>
      </c>
    </row>
    <row r="24" spans="1:10" x14ac:dyDescent="0.35">
      <c r="A24" s="6" t="s">
        <v>61</v>
      </c>
      <c r="B24" s="6" t="s">
        <v>8</v>
      </c>
      <c r="C24" s="6">
        <v>11</v>
      </c>
      <c r="D24" s="6" t="s">
        <v>62</v>
      </c>
      <c r="E24" s="6" t="s">
        <v>203</v>
      </c>
      <c r="F24" s="6" t="s">
        <v>253</v>
      </c>
      <c r="G24" s="6" t="s">
        <v>254</v>
      </c>
      <c r="H24" s="6" t="s">
        <v>255</v>
      </c>
      <c r="I24" s="6">
        <v>1</v>
      </c>
      <c r="J24" s="10" t="s">
        <v>276</v>
      </c>
    </row>
    <row r="25" spans="1:10" x14ac:dyDescent="0.35">
      <c r="A25" s="6" t="s">
        <v>61</v>
      </c>
      <c r="B25" s="6" t="s">
        <v>8</v>
      </c>
      <c r="C25" s="6">
        <v>11</v>
      </c>
      <c r="D25" s="6" t="s">
        <v>62</v>
      </c>
      <c r="E25" s="6" t="s">
        <v>204</v>
      </c>
      <c r="F25" s="6" t="s">
        <v>256</v>
      </c>
      <c r="G25" s="6" t="s">
        <v>257</v>
      </c>
      <c r="H25" s="6" t="s">
        <v>258</v>
      </c>
      <c r="I25" s="6">
        <v>1</v>
      </c>
      <c r="J25" s="10" t="s">
        <v>276</v>
      </c>
    </row>
    <row r="26" spans="1:10" x14ac:dyDescent="0.35">
      <c r="A26" s="6" t="s">
        <v>61</v>
      </c>
      <c r="B26" s="6" t="s">
        <v>8</v>
      </c>
      <c r="C26" s="6">
        <v>11</v>
      </c>
      <c r="D26" s="6" t="s">
        <v>62</v>
      </c>
      <c r="E26" s="6" t="s">
        <v>205</v>
      </c>
      <c r="F26" s="6" t="s">
        <v>259</v>
      </c>
      <c r="G26" s="6" t="s">
        <v>260</v>
      </c>
      <c r="H26" s="6" t="s">
        <v>261</v>
      </c>
      <c r="I26" s="6">
        <v>1</v>
      </c>
      <c r="J26" s="9" t="s">
        <v>276</v>
      </c>
    </row>
    <row r="27" spans="1:10" x14ac:dyDescent="0.35">
      <c r="A27" s="6" t="s">
        <v>67</v>
      </c>
      <c r="B27" s="6" t="s">
        <v>8</v>
      </c>
      <c r="C27" s="6">
        <v>12</v>
      </c>
      <c r="D27" s="6" t="s">
        <v>68</v>
      </c>
      <c r="E27" s="6" t="s">
        <v>207</v>
      </c>
      <c r="F27" s="6" t="s">
        <v>264</v>
      </c>
      <c r="G27" s="6" t="s">
        <v>265</v>
      </c>
      <c r="H27" s="6" t="s">
        <v>266</v>
      </c>
      <c r="I27" s="6">
        <v>1</v>
      </c>
      <c r="J27" s="9" t="s">
        <v>277</v>
      </c>
    </row>
  </sheetData>
  <autoFilter ref="A2:J27" xr:uid="{CE18895C-55A2-42E1-BA21-50AB3F747C94}">
    <sortState xmlns:xlrd2="http://schemas.microsoft.com/office/spreadsheetml/2017/richdata2" ref="A3:J27">
      <sortCondition ref="C2:C27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LICENCIA CON GOCE</vt:lpstr>
      <vt:lpstr>LICENCIA SIN GOCE</vt:lpstr>
    </vt:vector>
  </TitlesOfParts>
  <Company>Metso:Outotec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Andrea Arellano</dc:creator>
  <cp:lastModifiedBy>EXT Ricardo Uculmana</cp:lastModifiedBy>
  <dcterms:created xsi:type="dcterms:W3CDTF">2026-01-22T17:34:41Z</dcterms:created>
  <dcterms:modified xsi:type="dcterms:W3CDTF">2026-01-29T17:03:29Z</dcterms:modified>
</cp:coreProperties>
</file>